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tan\projects\machine-learning\P1-KNN\T1-Car-Recommendation\"/>
    </mc:Choice>
  </mc:AlternateContent>
  <xr:revisionPtr revIDLastSave="0" documentId="13_ncr:1_{FF737707-3C2D-4D2F-89F2-B610CE3168F3}" xr6:coauthVersionLast="47" xr6:coauthVersionMax="47" xr10:uidLastSave="{00000000-0000-0000-0000-000000000000}"/>
  <bookViews>
    <workbookView xWindow="14016" yWindow="1176" windowWidth="28356" windowHeight="17172" tabRatio="888" activeTab="1" xr2:uid="{00000000-000D-0000-FFFF-FFFF00000000}"/>
  </bookViews>
  <sheets>
    <sheet name="基础数据+模型训练+预测" sheetId="1" r:id="rId1"/>
    <sheet name="扩展数据+模型训练+预测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7" i="11" l="1"/>
  <c r="G76" i="11"/>
  <c r="G75" i="11"/>
  <c r="G78" i="11"/>
  <c r="C38" i="11"/>
  <c r="D38" i="11"/>
  <c r="E38" i="11"/>
  <c r="F38" i="11"/>
  <c r="B38" i="11"/>
  <c r="C37" i="11"/>
  <c r="D37" i="11"/>
  <c r="E37" i="11"/>
  <c r="F37" i="11"/>
  <c r="B37" i="11"/>
  <c r="E71" i="1"/>
  <c r="E68" i="1"/>
  <c r="E69" i="1"/>
  <c r="E70" i="1"/>
  <c r="E60" i="1"/>
  <c r="E58" i="1"/>
  <c r="E59" i="1"/>
  <c r="E57" i="1"/>
  <c r="E49" i="1"/>
  <c r="E51" i="1"/>
  <c r="E50" i="1"/>
  <c r="E52" i="1"/>
  <c r="B39" i="11" l="1"/>
  <c r="E48" i="11" s="1"/>
  <c r="F39" i="11"/>
  <c r="F53" i="11" s="1"/>
  <c r="E39" i="11"/>
  <c r="E53" i="11" s="1"/>
  <c r="D39" i="11"/>
  <c r="D53" i="11" s="1"/>
  <c r="D43" i="11"/>
  <c r="C39" i="11"/>
  <c r="C53" i="11" s="1"/>
  <c r="C43" i="11"/>
  <c r="E45" i="11"/>
  <c r="F44" i="11" l="1"/>
  <c r="B45" i="11"/>
  <c r="D47" i="11"/>
  <c r="D45" i="11"/>
  <c r="B43" i="11"/>
  <c r="F46" i="11"/>
  <c r="E44" i="11"/>
  <c r="D46" i="11"/>
  <c r="C44" i="11"/>
  <c r="E46" i="11"/>
  <c r="B48" i="11"/>
  <c r="B47" i="11"/>
  <c r="D48" i="11"/>
  <c r="E43" i="11"/>
  <c r="F43" i="11"/>
  <c r="B46" i="11"/>
  <c r="C47" i="11"/>
  <c r="C46" i="11"/>
  <c r="E47" i="11"/>
  <c r="D44" i="11"/>
  <c r="F47" i="11"/>
  <c r="B44" i="11"/>
  <c r="C45" i="11"/>
  <c r="F48" i="11"/>
  <c r="B53" i="11"/>
  <c r="C48" i="11"/>
  <c r="F45" i="11"/>
  <c r="G58" i="11" l="1"/>
  <c r="G59" i="11"/>
  <c r="G57" i="11"/>
  <c r="G60" i="11"/>
  <c r="G65" i="11"/>
  <c r="G63" i="11"/>
  <c r="G64" i="11"/>
  <c r="G66" i="11"/>
</calcChain>
</file>

<file path=xl/sharedStrings.xml><?xml version="1.0" encoding="utf-8"?>
<sst xmlns="http://schemas.openxmlformats.org/spreadsheetml/2006/main" count="248" uniqueCount="73">
  <si>
    <t>型号</t>
  </si>
  <si>
    <t>长mm</t>
  </si>
  <si>
    <t>宽mm</t>
  </si>
  <si>
    <t>高mm</t>
  </si>
  <si>
    <t>BAOJ310-</t>
  </si>
  <si>
    <t>XW-M1+</t>
  </si>
  <si>
    <t>GoF</t>
  </si>
  <si>
    <t>CrV</t>
  </si>
  <si>
    <t>BZ-08</t>
  </si>
  <si>
    <t>jeta</t>
  </si>
  <si>
    <t>POL-</t>
  </si>
  <si>
    <t>BW5+</t>
  </si>
  <si>
    <t>BDe6+</t>
  </si>
  <si>
    <t>RWi5</t>
  </si>
  <si>
    <t>Wuling-</t>
  </si>
  <si>
    <t>长</t>
  </si>
  <si>
    <t>宽</t>
  </si>
  <si>
    <t>高</t>
  </si>
  <si>
    <r>
      <rPr>
        <b/>
        <sz val="11"/>
        <color theme="1"/>
        <rFont val="宋体"/>
        <family val="3"/>
        <charset val="134"/>
      </rPr>
      <t>油耗</t>
    </r>
  </si>
  <si>
    <r>
      <rPr>
        <b/>
        <sz val="11"/>
        <color theme="1"/>
        <rFont val="宋体"/>
        <family val="3"/>
        <charset val="134"/>
      </rPr>
      <t>售价</t>
    </r>
  </si>
  <si>
    <t>(mm)</t>
  </si>
  <si>
    <t>(L/100km)</t>
  </si>
  <si>
    <t>(万元)</t>
  </si>
  <si>
    <t>数据指标</t>
  </si>
  <si>
    <t>数据示例</t>
  </si>
  <si>
    <t>量级</t>
  </si>
  <si>
    <t>长宽高类型数据</t>
  </si>
  <si>
    <t>4560、1822、1645</t>
  </si>
  <si>
    <t>10的3次方</t>
  </si>
  <si>
    <t>售价</t>
  </si>
  <si>
    <t>5.6、14.5</t>
  </si>
  <si>
    <t>10的1、2次方</t>
  </si>
  <si>
    <t>平均油耗</t>
  </si>
  <si>
    <t>7.8、8.5、6.2</t>
  </si>
  <si>
    <t>10的1次方</t>
  </si>
  <si>
    <t>CRV</t>
  </si>
  <si>
    <t>1. 研究问题</t>
    <phoneticPr fontId="5" type="noConversion"/>
  </si>
  <si>
    <t>根据用户在线浏览车型信息，预测（推荐）用户可能感兴趣的车型</t>
    <phoneticPr fontId="5" type="noConversion"/>
  </si>
  <si>
    <t>问题分析：</t>
    <phoneticPr fontId="5" type="noConversion"/>
  </si>
  <si>
    <t>输入</t>
    <phoneticPr fontId="5" type="noConversion"/>
  </si>
  <si>
    <t>历史浏览车型 + 浏览行为</t>
    <phoneticPr fontId="5" type="noConversion"/>
  </si>
  <si>
    <t>KNN</t>
    <phoneticPr fontId="5" type="noConversion"/>
  </si>
  <si>
    <t>算法</t>
    <phoneticPr fontId="5" type="noConversion"/>
  </si>
  <si>
    <t>输出</t>
    <phoneticPr fontId="5" type="noConversion"/>
  </si>
  <si>
    <t>新车型 + 用户兴趣</t>
    <phoneticPr fontId="5" type="noConversion"/>
  </si>
  <si>
    <t>表1-1 车辆属性与用户浏览行为表</t>
    <phoneticPr fontId="5" type="noConversion"/>
  </si>
  <si>
    <t>“+”表示用户浏览时停留时间长,可能感兴趣；
“-”表示用户停留时间短，无兴趣</t>
    <phoneticPr fontId="5" type="noConversion"/>
  </si>
  <si>
    <t>2.数据预处理</t>
    <phoneticPr fontId="5" type="noConversion"/>
  </si>
  <si>
    <t>表1-2 已知数据处理</t>
    <phoneticPr fontId="5" type="noConversion"/>
  </si>
  <si>
    <t>数据集分类</t>
    <phoneticPr fontId="5" type="noConversion"/>
  </si>
  <si>
    <t>训练</t>
    <phoneticPr fontId="5" type="noConversion"/>
  </si>
  <si>
    <t>测试</t>
    <phoneticPr fontId="5" type="noConversion"/>
  </si>
  <si>
    <t>表1-3 待预测数据</t>
    <phoneticPr fontId="5" type="noConversion"/>
  </si>
  <si>
    <t>3.模型训练</t>
    <phoneticPr fontId="5" type="noConversion"/>
  </si>
  <si>
    <t>d(BDe6)</t>
    <phoneticPr fontId="5" type="noConversion"/>
  </si>
  <si>
    <t>d(Wuling)</t>
    <phoneticPr fontId="5" type="noConversion"/>
  </si>
  <si>
    <t>是否推荐</t>
    <phoneticPr fontId="5" type="noConversion"/>
  </si>
  <si>
    <t>+</t>
    <phoneticPr fontId="5" type="noConversion"/>
  </si>
  <si>
    <t>-</t>
    <phoneticPr fontId="5" type="noConversion"/>
  </si>
  <si>
    <t>推荐</t>
    <phoneticPr fontId="5" type="noConversion"/>
  </si>
  <si>
    <t>不推荐</t>
    <phoneticPr fontId="5" type="noConversion"/>
  </si>
  <si>
    <t>训练结果与测试集吻合，证明模型有效！</t>
    <phoneticPr fontId="5" type="noConversion"/>
  </si>
  <si>
    <t>d(GoF)</t>
    <phoneticPr fontId="5" type="noConversion"/>
  </si>
  <si>
    <t>数据集划分</t>
    <phoneticPr fontId="5" type="noConversion"/>
  </si>
  <si>
    <t>（1）数据集划分</t>
    <phoneticPr fontId="5" type="noConversion"/>
  </si>
  <si>
    <t>（2）数据归一化</t>
    <phoneticPr fontId="5" type="noConversion"/>
  </si>
  <si>
    <t>MAX</t>
    <phoneticPr fontId="5" type="noConversion"/>
  </si>
  <si>
    <t>MIN</t>
    <phoneticPr fontId="5" type="noConversion"/>
  </si>
  <si>
    <t>0-1</t>
    <phoneticPr fontId="5" type="noConversion"/>
  </si>
  <si>
    <t>MAX-MIN</t>
    <phoneticPr fontId="5" type="noConversion"/>
  </si>
  <si>
    <t>（3）待预测数据归一化</t>
    <phoneticPr fontId="5" type="noConversion"/>
  </si>
  <si>
    <t>d(CRV)</t>
    <phoneticPr fontId="5" type="noConversion"/>
  </si>
  <si>
    <t>4.模型应用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</si>
</sst>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_ "/>
  </numFmts>
  <fonts count="7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  <font>
      <b/>
      <sz val="11"/>
      <color theme="1"/>
      <name val="Times New Roman"/>
      <family val="1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/>
    <xf numFmtId="0" fontId="0" fillId="0" borderId="0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0" xfId="0" applyFont="1"/>
    <xf numFmtId="0" fontId="6" fillId="0" borderId="0" xfId="0" applyFont="1" applyFill="1" applyAlignment="1">
      <alignment horizontal="left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176" fontId="0" fillId="0" borderId="0" xfId="0" applyNumberFormat="1"/>
    <xf numFmtId="0" fontId="6" fillId="0" borderId="0" xfId="0" applyFont="1" applyFill="1" applyBorder="1" applyAlignment="1">
      <alignment horizontal="center"/>
    </xf>
    <xf numFmtId="176" fontId="6" fillId="0" borderId="0" xfId="0" applyNumberFormat="1" applyFont="1"/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9" xfId="0" applyFill="1" applyBorder="1"/>
    <xf numFmtId="0" fontId="0" fillId="0" borderId="1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0" borderId="0" xfId="0" applyFont="1" applyFill="1" applyBorder="1" applyAlignment="1">
      <alignment horizontal="left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4" fillId="0" borderId="7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177" fontId="0" fillId="0" borderId="13" xfId="0" applyNumberFormat="1" applyFill="1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0" fillId="0" borderId="1" xfId="0" applyFill="1" applyBorder="1"/>
    <xf numFmtId="177" fontId="0" fillId="0" borderId="1" xfId="0" applyNumberFormat="1" applyBorder="1"/>
    <xf numFmtId="0" fontId="1" fillId="0" borderId="26" xfId="0" applyFont="1" applyBorder="1" applyAlignment="1">
      <alignment vertical="center"/>
    </xf>
    <xf numFmtId="0" fontId="6" fillId="0" borderId="20" xfId="0" applyFont="1" applyBorder="1" applyAlignment="1"/>
    <xf numFmtId="0" fontId="6" fillId="2" borderId="0" xfId="0" applyFont="1" applyFill="1" applyBorder="1" applyAlignment="1">
      <alignment horizontal="left"/>
    </xf>
    <xf numFmtId="0" fontId="0" fillId="2" borderId="0" xfId="0" applyFont="1" applyFill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2" borderId="0" xfId="0" applyFont="1" applyFill="1" applyAlignment="1">
      <alignment horizontal="left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0" fillId="2" borderId="18" xfId="0" applyFont="1" applyFill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6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6" fillId="0" borderId="18" xfId="0" applyFont="1" applyFill="1" applyBorder="1" applyAlignment="1">
      <alignment horizontal="left"/>
    </xf>
    <xf numFmtId="0" fontId="1" fillId="0" borderId="24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0000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opLeftCell="A85" zoomScale="145" zoomScaleNormal="145" workbookViewId="0">
      <selection activeCell="F64" sqref="F64"/>
    </sheetView>
  </sheetViews>
  <sheetFormatPr defaultColWidth="9" defaultRowHeight="14.4" x14ac:dyDescent="0.25"/>
  <cols>
    <col min="5" max="5" width="11.77734375" bestFit="1" customWidth="1"/>
    <col min="6" max="6" width="9.5546875" bestFit="1" customWidth="1"/>
  </cols>
  <sheetData>
    <row r="1" spans="1:4" x14ac:dyDescent="0.25">
      <c r="A1" s="71" t="s">
        <v>36</v>
      </c>
      <c r="B1" s="71"/>
      <c r="C1" s="71"/>
      <c r="D1" s="71"/>
    </row>
    <row r="2" spans="1:4" ht="31.8" customHeight="1" x14ac:dyDescent="0.25">
      <c r="A2" s="75" t="s">
        <v>37</v>
      </c>
      <c r="B2" s="75"/>
      <c r="C2" s="75"/>
      <c r="D2" s="75"/>
    </row>
    <row r="3" spans="1:4" x14ac:dyDescent="0.25">
      <c r="A3" s="15"/>
      <c r="B3" s="15"/>
      <c r="C3" s="15"/>
      <c r="D3" s="15"/>
    </row>
    <row r="4" spans="1:4" x14ac:dyDescent="0.25">
      <c r="A4" s="15" t="s">
        <v>38</v>
      </c>
      <c r="C4" s="15"/>
      <c r="D4" s="15"/>
    </row>
    <row r="5" spans="1:4" x14ac:dyDescent="0.25">
      <c r="A5" s="15"/>
      <c r="B5" s="15" t="s">
        <v>39</v>
      </c>
      <c r="C5" s="15" t="s">
        <v>40</v>
      </c>
      <c r="D5" s="15"/>
    </row>
    <row r="6" spans="1:4" x14ac:dyDescent="0.25">
      <c r="A6" s="15"/>
      <c r="B6" s="15" t="s">
        <v>42</v>
      </c>
      <c r="C6" s="15" t="s">
        <v>41</v>
      </c>
      <c r="D6" s="15"/>
    </row>
    <row r="7" spans="1:4" x14ac:dyDescent="0.25">
      <c r="A7" s="15"/>
      <c r="B7" s="15" t="s">
        <v>43</v>
      </c>
      <c r="C7" s="15" t="s">
        <v>44</v>
      </c>
      <c r="D7" s="15"/>
    </row>
    <row r="8" spans="1:4" x14ac:dyDescent="0.25">
      <c r="A8" s="15"/>
      <c r="B8" s="15"/>
      <c r="C8" s="15"/>
      <c r="D8" s="15"/>
    </row>
    <row r="9" spans="1:4" x14ac:dyDescent="0.25">
      <c r="A9" s="15"/>
      <c r="B9" s="15"/>
      <c r="C9" s="15"/>
      <c r="D9" s="15"/>
    </row>
    <row r="10" spans="1:4" ht="15" thickBot="1" x14ac:dyDescent="0.3">
      <c r="A10" s="72" t="s">
        <v>45</v>
      </c>
      <c r="B10" s="72"/>
      <c r="C10" s="72"/>
      <c r="D10" s="72"/>
    </row>
    <row r="11" spans="1:4" ht="15" thickBot="1" x14ac:dyDescent="0.3">
      <c r="A11" s="9" t="s">
        <v>0</v>
      </c>
      <c r="B11" s="10" t="s">
        <v>1</v>
      </c>
      <c r="C11" s="10" t="s">
        <v>2</v>
      </c>
      <c r="D11" s="11" t="s">
        <v>3</v>
      </c>
    </row>
    <row r="12" spans="1:4" x14ac:dyDescent="0.25">
      <c r="A12" s="16" t="s">
        <v>4</v>
      </c>
      <c r="B12" s="17">
        <v>4032</v>
      </c>
      <c r="C12" s="17">
        <v>1680</v>
      </c>
      <c r="D12" s="18">
        <v>1450</v>
      </c>
    </row>
    <row r="13" spans="1:4" x14ac:dyDescent="0.25">
      <c r="A13" s="19" t="s">
        <v>5</v>
      </c>
      <c r="B13" s="20">
        <v>4330</v>
      </c>
      <c r="C13" s="20">
        <v>1535</v>
      </c>
      <c r="D13" s="21">
        <v>1885</v>
      </c>
    </row>
    <row r="14" spans="1:4" x14ac:dyDescent="0.25">
      <c r="A14" s="12" t="s">
        <v>6</v>
      </c>
      <c r="B14" s="1">
        <v>4259</v>
      </c>
      <c r="C14" s="1">
        <v>1799</v>
      </c>
      <c r="D14" s="13">
        <v>1452</v>
      </c>
    </row>
    <row r="15" spans="1:4" x14ac:dyDescent="0.25">
      <c r="A15" s="12" t="s">
        <v>7</v>
      </c>
      <c r="B15" s="1">
        <v>4585</v>
      </c>
      <c r="C15" s="1">
        <v>1855</v>
      </c>
      <c r="D15" s="13">
        <v>1679</v>
      </c>
    </row>
    <row r="16" spans="1:4" x14ac:dyDescent="0.25">
      <c r="A16" s="12" t="s">
        <v>8</v>
      </c>
      <c r="B16" s="1">
        <v>4590</v>
      </c>
      <c r="C16" s="1">
        <v>1820</v>
      </c>
      <c r="D16" s="13">
        <v>1488</v>
      </c>
    </row>
    <row r="17" spans="1:5" x14ac:dyDescent="0.25">
      <c r="A17" s="12" t="s">
        <v>9</v>
      </c>
      <c r="B17" s="1">
        <v>4501</v>
      </c>
      <c r="C17" s="1">
        <v>1704</v>
      </c>
      <c r="D17" s="13">
        <v>1469</v>
      </c>
    </row>
    <row r="18" spans="1:5" x14ac:dyDescent="0.25">
      <c r="A18" s="19" t="s">
        <v>10</v>
      </c>
      <c r="B18" s="20">
        <v>4053</v>
      </c>
      <c r="C18" s="20">
        <v>1740</v>
      </c>
      <c r="D18" s="21">
        <v>1449</v>
      </c>
    </row>
    <row r="19" spans="1:5" x14ac:dyDescent="0.25">
      <c r="A19" s="19" t="s">
        <v>11</v>
      </c>
      <c r="B19" s="20">
        <v>5087</v>
      </c>
      <c r="C19" s="20">
        <v>1868</v>
      </c>
      <c r="D19" s="21">
        <v>1500</v>
      </c>
    </row>
    <row r="20" spans="1:5" x14ac:dyDescent="0.25">
      <c r="A20" s="19" t="s">
        <v>12</v>
      </c>
      <c r="B20" s="20">
        <v>4560</v>
      </c>
      <c r="C20" s="20">
        <v>1822</v>
      </c>
      <c r="D20" s="21">
        <v>1645</v>
      </c>
    </row>
    <row r="21" spans="1:5" x14ac:dyDescent="0.25">
      <c r="A21" s="25" t="s">
        <v>13</v>
      </c>
      <c r="B21" s="26">
        <v>4601</v>
      </c>
      <c r="C21" s="26">
        <v>1818</v>
      </c>
      <c r="D21" s="27">
        <v>1489</v>
      </c>
    </row>
    <row r="22" spans="1:5" ht="15" thickBot="1" x14ac:dyDescent="0.3">
      <c r="A22" s="22" t="s">
        <v>14</v>
      </c>
      <c r="B22" s="23">
        <v>3797</v>
      </c>
      <c r="C22" s="23">
        <v>1510</v>
      </c>
      <c r="D22" s="24">
        <v>1820</v>
      </c>
    </row>
    <row r="23" spans="1:5" ht="46.8" customHeight="1" x14ac:dyDescent="0.25">
      <c r="A23" s="73" t="s">
        <v>46</v>
      </c>
      <c r="B23" s="74"/>
      <c r="C23" s="74"/>
      <c r="D23" s="74"/>
    </row>
    <row r="26" spans="1:5" x14ac:dyDescent="0.25">
      <c r="A26" s="71" t="s">
        <v>47</v>
      </c>
      <c r="B26" s="71"/>
      <c r="C26" s="71"/>
      <c r="D26" s="71"/>
    </row>
    <row r="28" spans="1:5" ht="15" thickBot="1" x14ac:dyDescent="0.3">
      <c r="A28" s="76" t="s">
        <v>48</v>
      </c>
      <c r="B28" s="76"/>
      <c r="C28" s="76"/>
      <c r="D28" s="76"/>
    </row>
    <row r="29" spans="1:5" ht="15" thickBot="1" x14ac:dyDescent="0.3">
      <c r="A29" s="9" t="s">
        <v>0</v>
      </c>
      <c r="B29" s="10" t="s">
        <v>1</v>
      </c>
      <c r="C29" s="10" t="s">
        <v>2</v>
      </c>
      <c r="D29" s="29" t="s">
        <v>3</v>
      </c>
      <c r="E29" s="5" t="s">
        <v>49</v>
      </c>
    </row>
    <row r="30" spans="1:5" x14ac:dyDescent="0.25">
      <c r="A30" s="16" t="s">
        <v>4</v>
      </c>
      <c r="B30" s="17">
        <v>4032</v>
      </c>
      <c r="C30" s="17">
        <v>1680</v>
      </c>
      <c r="D30" s="30">
        <v>1450</v>
      </c>
      <c r="E30" s="67" t="s">
        <v>50</v>
      </c>
    </row>
    <row r="31" spans="1:5" x14ac:dyDescent="0.25">
      <c r="A31" s="19" t="s">
        <v>5</v>
      </c>
      <c r="B31" s="20">
        <v>4330</v>
      </c>
      <c r="C31" s="20">
        <v>1535</v>
      </c>
      <c r="D31" s="31">
        <v>1885</v>
      </c>
      <c r="E31" s="67"/>
    </row>
    <row r="32" spans="1:5" x14ac:dyDescent="0.25">
      <c r="A32" s="19" t="s">
        <v>10</v>
      </c>
      <c r="B32" s="20">
        <v>4053</v>
      </c>
      <c r="C32" s="20">
        <v>1740</v>
      </c>
      <c r="D32" s="31">
        <v>1449</v>
      </c>
      <c r="E32" s="67"/>
    </row>
    <row r="33" spans="1:6" x14ac:dyDescent="0.25">
      <c r="A33" s="19" t="s">
        <v>11</v>
      </c>
      <c r="B33" s="20">
        <v>5087</v>
      </c>
      <c r="C33" s="20">
        <v>1868</v>
      </c>
      <c r="D33" s="31">
        <v>1500</v>
      </c>
      <c r="E33" s="67"/>
    </row>
    <row r="34" spans="1:6" x14ac:dyDescent="0.25">
      <c r="A34" s="19" t="s">
        <v>12</v>
      </c>
      <c r="B34" s="20">
        <v>4560</v>
      </c>
      <c r="C34" s="20">
        <v>1822</v>
      </c>
      <c r="D34" s="31">
        <v>1645</v>
      </c>
      <c r="E34" s="68" t="s">
        <v>51</v>
      </c>
    </row>
    <row r="35" spans="1:6" ht="15" thickBot="1" x14ac:dyDescent="0.3">
      <c r="A35" s="22" t="s">
        <v>14</v>
      </c>
      <c r="B35" s="23">
        <v>3797</v>
      </c>
      <c r="C35" s="23">
        <v>1510</v>
      </c>
      <c r="D35" s="32">
        <v>1820</v>
      </c>
      <c r="E35" s="68"/>
    </row>
    <row r="38" spans="1:6" ht="15" thickBot="1" x14ac:dyDescent="0.3">
      <c r="A38" s="69" t="s">
        <v>52</v>
      </c>
      <c r="B38" s="69"/>
      <c r="C38" s="69"/>
      <c r="D38" s="69"/>
    </row>
    <row r="39" spans="1:6" ht="15" thickBot="1" x14ac:dyDescent="0.3">
      <c r="A39" s="9" t="s">
        <v>0</v>
      </c>
      <c r="B39" s="10" t="s">
        <v>1</v>
      </c>
      <c r="C39" s="10" t="s">
        <v>2</v>
      </c>
      <c r="D39" s="11" t="s">
        <v>3</v>
      </c>
    </row>
    <row r="40" spans="1:6" x14ac:dyDescent="0.25">
      <c r="A40" s="12" t="s">
        <v>6</v>
      </c>
      <c r="B40" s="1">
        <v>4259</v>
      </c>
      <c r="C40" s="1">
        <v>1799</v>
      </c>
      <c r="D40" s="13">
        <v>1452</v>
      </c>
    </row>
    <row r="41" spans="1:6" x14ac:dyDescent="0.25">
      <c r="A41" s="12" t="s">
        <v>7</v>
      </c>
      <c r="B41" s="1">
        <v>4585</v>
      </c>
      <c r="C41" s="1">
        <v>1855</v>
      </c>
      <c r="D41" s="13">
        <v>1679</v>
      </c>
    </row>
    <row r="42" spans="1:6" x14ac:dyDescent="0.25">
      <c r="A42" s="12" t="s">
        <v>8</v>
      </c>
      <c r="B42" s="1">
        <v>4590</v>
      </c>
      <c r="C42" s="1">
        <v>1820</v>
      </c>
      <c r="D42" s="13">
        <v>1488</v>
      </c>
    </row>
    <row r="43" spans="1:6" x14ac:dyDescent="0.25">
      <c r="A43" s="12" t="s">
        <v>9</v>
      </c>
      <c r="B43" s="1">
        <v>4501</v>
      </c>
      <c r="C43" s="1">
        <v>1704</v>
      </c>
      <c r="D43" s="13">
        <v>1469</v>
      </c>
    </row>
    <row r="44" spans="1:6" x14ac:dyDescent="0.25">
      <c r="A44" s="25" t="s">
        <v>13</v>
      </c>
      <c r="B44" s="26">
        <v>4601</v>
      </c>
      <c r="C44" s="26">
        <v>1818</v>
      </c>
      <c r="D44" s="27">
        <v>1489</v>
      </c>
    </row>
    <row r="47" spans="1:6" ht="15" thickBot="1" x14ac:dyDescent="0.3">
      <c r="A47" s="66" t="s">
        <v>53</v>
      </c>
      <c r="B47" s="66"/>
      <c r="C47" s="66"/>
      <c r="D47" s="66"/>
    </row>
    <row r="48" spans="1:6" ht="15" thickBot="1" x14ac:dyDescent="0.3">
      <c r="A48" s="9" t="s">
        <v>0</v>
      </c>
      <c r="B48" s="10" t="s">
        <v>1</v>
      </c>
      <c r="C48" s="10" t="s">
        <v>2</v>
      </c>
      <c r="D48" s="29" t="s">
        <v>3</v>
      </c>
      <c r="E48" s="28" t="s">
        <v>54</v>
      </c>
      <c r="F48" s="34" t="s">
        <v>56</v>
      </c>
    </row>
    <row r="49" spans="1:7" x14ac:dyDescent="0.25">
      <c r="A49" s="16" t="s">
        <v>5</v>
      </c>
      <c r="B49" s="17">
        <v>4330</v>
      </c>
      <c r="C49" s="17">
        <v>1535</v>
      </c>
      <c r="D49" s="30">
        <v>1885</v>
      </c>
      <c r="E49" s="33">
        <f>SQRT((B49-$B$34)^2+(C49-$C$34)^2+(D49-$D$34)^2)</f>
        <v>439.16853257035621</v>
      </c>
      <c r="F49" s="35" t="s">
        <v>57</v>
      </c>
      <c r="G49" s="14" t="s">
        <v>59</v>
      </c>
    </row>
    <row r="50" spans="1:7" x14ac:dyDescent="0.25">
      <c r="A50" s="19" t="s">
        <v>11</v>
      </c>
      <c r="B50" s="20">
        <v>5087</v>
      </c>
      <c r="C50" s="20">
        <v>1868</v>
      </c>
      <c r="D50" s="31">
        <v>1500</v>
      </c>
      <c r="E50" s="33">
        <f>SQRT((B50-$B$34)^2+(C50-$C$34)^2+(D50-$D$34)^2)</f>
        <v>548.51618025360017</v>
      </c>
      <c r="F50" s="35" t="s">
        <v>57</v>
      </c>
    </row>
    <row r="51" spans="1:7" x14ac:dyDescent="0.25">
      <c r="A51" s="19" t="s">
        <v>10</v>
      </c>
      <c r="B51" s="20">
        <v>4053</v>
      </c>
      <c r="C51" s="20">
        <v>1740</v>
      </c>
      <c r="D51" s="31">
        <v>1449</v>
      </c>
      <c r="E51" s="33">
        <f>SQRT((B51-$B$34)^2+(C51-$C$34)^2+(D51-$D$34)^2)</f>
        <v>549.71720002197492</v>
      </c>
      <c r="F51" s="35" t="s">
        <v>58</v>
      </c>
    </row>
    <row r="52" spans="1:7" x14ac:dyDescent="0.25">
      <c r="A52" s="19" t="s">
        <v>4</v>
      </c>
      <c r="B52" s="20">
        <v>4032</v>
      </c>
      <c r="C52" s="20">
        <v>1680</v>
      </c>
      <c r="D52" s="31">
        <v>1450</v>
      </c>
      <c r="E52" s="33">
        <f>SQRT((B52-$B$34)^2+(C52-$C$34)^2+(D52-$D$34)^2)</f>
        <v>580.49375534970227</v>
      </c>
      <c r="F52" s="33"/>
    </row>
    <row r="54" spans="1:7" x14ac:dyDescent="0.25">
      <c r="A54" s="28"/>
    </row>
    <row r="55" spans="1:7" ht="15" thickBot="1" x14ac:dyDescent="0.3"/>
    <row r="56" spans="1:7" ht="15" thickBot="1" x14ac:dyDescent="0.3">
      <c r="A56" s="9" t="s">
        <v>0</v>
      </c>
      <c r="B56" s="10" t="s">
        <v>1</v>
      </c>
      <c r="C56" s="10" t="s">
        <v>2</v>
      </c>
      <c r="D56" s="29" t="s">
        <v>3</v>
      </c>
      <c r="E56" s="28" t="s">
        <v>55</v>
      </c>
      <c r="F56" s="28" t="s">
        <v>56</v>
      </c>
    </row>
    <row r="57" spans="1:7" x14ac:dyDescent="0.25">
      <c r="A57" s="16" t="s">
        <v>4</v>
      </c>
      <c r="B57" s="17">
        <v>4032</v>
      </c>
      <c r="C57" s="17">
        <v>1680</v>
      </c>
      <c r="D57" s="30">
        <v>1450</v>
      </c>
      <c r="E57" s="33">
        <f>SQRT((B57-$B$35)^2+(C57-$C$35)^2+(D57-$D$35)^2)</f>
        <v>470.13295991666018</v>
      </c>
      <c r="F57" s="14" t="s">
        <v>58</v>
      </c>
      <c r="G57" s="14" t="s">
        <v>60</v>
      </c>
    </row>
    <row r="58" spans="1:7" x14ac:dyDescent="0.25">
      <c r="A58" s="19" t="s">
        <v>10</v>
      </c>
      <c r="B58" s="20">
        <v>4053</v>
      </c>
      <c r="C58" s="20">
        <v>1740</v>
      </c>
      <c r="D58" s="31">
        <v>1449</v>
      </c>
      <c r="E58" s="33">
        <f>SQRT((B58-$B$35)^2+(C58-$C$35)^2+(D58-$D$35)^2)</f>
        <v>506.04051221221408</v>
      </c>
      <c r="F58" s="14" t="s">
        <v>58</v>
      </c>
    </row>
    <row r="59" spans="1:7" x14ac:dyDescent="0.25">
      <c r="A59" s="19" t="s">
        <v>5</v>
      </c>
      <c r="B59" s="20">
        <v>4330</v>
      </c>
      <c r="C59" s="20">
        <v>1535</v>
      </c>
      <c r="D59" s="31">
        <v>1885</v>
      </c>
      <c r="E59" s="33">
        <f>SQRT((B59-$B$35)^2+(C59-$C$35)^2+(D59-$D$35)^2)</f>
        <v>537.53046425295747</v>
      </c>
      <c r="F59" s="14" t="s">
        <v>57</v>
      </c>
    </row>
    <row r="60" spans="1:7" x14ac:dyDescent="0.25">
      <c r="A60" s="19" t="s">
        <v>11</v>
      </c>
      <c r="B60" s="20">
        <v>5087</v>
      </c>
      <c r="C60" s="20">
        <v>1868</v>
      </c>
      <c r="D60" s="31">
        <v>1500</v>
      </c>
      <c r="E60" s="33">
        <f>SQRT((B60-$B$35)^2+(C60-$C$35)^2+(D60-$D$35)^2)</f>
        <v>1376.4679436877561</v>
      </c>
    </row>
    <row r="62" spans="1:7" x14ac:dyDescent="0.25">
      <c r="A62" s="70" t="s">
        <v>61</v>
      </c>
      <c r="B62" s="69"/>
      <c r="C62" s="69"/>
      <c r="D62" s="69"/>
      <c r="E62" s="69"/>
      <c r="F62" s="69"/>
    </row>
    <row r="65" spans="1:7" x14ac:dyDescent="0.25">
      <c r="A65" s="65" t="s">
        <v>72</v>
      </c>
      <c r="B65" s="66"/>
      <c r="C65" s="66"/>
      <c r="D65" s="66"/>
    </row>
    <row r="66" spans="1:7" ht="15" thickBot="1" x14ac:dyDescent="0.3"/>
    <row r="67" spans="1:7" ht="15" thickBot="1" x14ac:dyDescent="0.3">
      <c r="A67" s="9" t="s">
        <v>0</v>
      </c>
      <c r="B67" s="10" t="s">
        <v>1</v>
      </c>
      <c r="C67" s="10" t="s">
        <v>2</v>
      </c>
      <c r="D67" s="29" t="s">
        <v>3</v>
      </c>
      <c r="E67" s="34" t="s">
        <v>62</v>
      </c>
      <c r="F67" s="34" t="s">
        <v>56</v>
      </c>
    </row>
    <row r="68" spans="1:7" x14ac:dyDescent="0.25">
      <c r="A68" s="16" t="s">
        <v>10</v>
      </c>
      <c r="B68" s="17">
        <v>4053</v>
      </c>
      <c r="C68" s="17">
        <v>1740</v>
      </c>
      <c r="D68" s="30">
        <v>1449</v>
      </c>
      <c r="E68" s="33">
        <f>SQRT((B68-$B$40)^2+(C68-$C$40)^2+(D68-$D$40)^2)</f>
        <v>214.30352306950067</v>
      </c>
      <c r="F68" s="14" t="s">
        <v>58</v>
      </c>
      <c r="G68" s="14" t="s">
        <v>60</v>
      </c>
    </row>
    <row r="69" spans="1:7" x14ac:dyDescent="0.25">
      <c r="A69" s="19" t="s">
        <v>4</v>
      </c>
      <c r="B69" s="20">
        <v>4032</v>
      </c>
      <c r="C69" s="20">
        <v>1680</v>
      </c>
      <c r="D69" s="31">
        <v>1450</v>
      </c>
      <c r="E69" s="33">
        <f>SQRT((B69-$B$40)^2+(C69-$C$40)^2+(D69-$D$40)^2)</f>
        <v>256.30840797757691</v>
      </c>
      <c r="F69" s="14" t="s">
        <v>58</v>
      </c>
    </row>
    <row r="70" spans="1:7" x14ac:dyDescent="0.25">
      <c r="A70" s="19" t="s">
        <v>5</v>
      </c>
      <c r="B70" s="20">
        <v>4330</v>
      </c>
      <c r="C70" s="20">
        <v>1535</v>
      </c>
      <c r="D70" s="31">
        <v>1885</v>
      </c>
      <c r="E70" s="33">
        <f>SQRT((B70-$B$40)^2+(C70-$C$40)^2+(D70-$D$40)^2)</f>
        <v>512.08007186376619</v>
      </c>
      <c r="F70" s="14" t="s">
        <v>57</v>
      </c>
    </row>
    <row r="71" spans="1:7" x14ac:dyDescent="0.25">
      <c r="A71" s="19" t="s">
        <v>11</v>
      </c>
      <c r="B71" s="20">
        <v>5087</v>
      </c>
      <c r="C71" s="20">
        <v>1868</v>
      </c>
      <c r="D71" s="31">
        <v>1500</v>
      </c>
      <c r="E71" s="33">
        <f>SQRT((B71-$B$40)^2+(C71-$C$40)^2+(D71-$D$40)^2)</f>
        <v>832.25536946300326</v>
      </c>
    </row>
  </sheetData>
  <sortState xmlns:xlrd2="http://schemas.microsoft.com/office/spreadsheetml/2017/richdata2" ref="A68:E71">
    <sortCondition ref="E68:E71"/>
  </sortState>
  <mergeCells count="12">
    <mergeCell ref="A28:D28"/>
    <mergeCell ref="A1:D1"/>
    <mergeCell ref="A10:D10"/>
    <mergeCell ref="A23:D23"/>
    <mergeCell ref="A26:D26"/>
    <mergeCell ref="A2:D2"/>
    <mergeCell ref="A65:D65"/>
    <mergeCell ref="E30:E33"/>
    <mergeCell ref="E34:E35"/>
    <mergeCell ref="A38:D38"/>
    <mergeCell ref="A47:D47"/>
    <mergeCell ref="A62:F62"/>
  </mergeCells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DACA-491F-4BB0-90F4-B0288F20BC8F}">
  <dimension ref="A1:K78"/>
  <sheetViews>
    <sheetView tabSelected="1" topLeftCell="A4" zoomScale="175" zoomScaleNormal="175" workbookViewId="0">
      <selection activeCell="A11" sqref="A11:F19"/>
    </sheetView>
  </sheetViews>
  <sheetFormatPr defaultColWidth="9" defaultRowHeight="14.4" x14ac:dyDescent="0.25"/>
  <cols>
    <col min="5" max="5" width="11.77734375" bestFit="1" customWidth="1"/>
    <col min="6" max="6" width="9.5546875" bestFit="1" customWidth="1"/>
    <col min="9" max="9" width="16.109375" bestFit="1" customWidth="1"/>
    <col min="10" max="10" width="18.33203125" bestFit="1" customWidth="1"/>
    <col min="11" max="11" width="13.88671875" bestFit="1" customWidth="1"/>
  </cols>
  <sheetData>
    <row r="1" spans="1:7" x14ac:dyDescent="0.25">
      <c r="A1" s="71" t="s">
        <v>36</v>
      </c>
      <c r="B1" s="71"/>
      <c r="C1" s="71"/>
      <c r="D1" s="71"/>
    </row>
    <row r="2" spans="1:7" ht="31.8" customHeight="1" x14ac:dyDescent="0.25">
      <c r="A2" s="75" t="s">
        <v>37</v>
      </c>
      <c r="B2" s="75"/>
      <c r="C2" s="75"/>
      <c r="D2" s="75"/>
    </row>
    <row r="3" spans="1:7" x14ac:dyDescent="0.25">
      <c r="A3" s="15"/>
      <c r="B3" s="15"/>
      <c r="C3" s="15"/>
      <c r="D3" s="15"/>
    </row>
    <row r="4" spans="1:7" x14ac:dyDescent="0.25">
      <c r="A4" s="15" t="s">
        <v>38</v>
      </c>
      <c r="C4" s="15"/>
      <c r="D4" s="15"/>
    </row>
    <row r="5" spans="1:7" x14ac:dyDescent="0.25">
      <c r="A5" s="15"/>
      <c r="B5" s="15" t="s">
        <v>39</v>
      </c>
      <c r="C5" s="15" t="s">
        <v>40</v>
      </c>
      <c r="D5" s="15"/>
    </row>
    <row r="6" spans="1:7" x14ac:dyDescent="0.25">
      <c r="A6" s="15"/>
      <c r="B6" s="15" t="s">
        <v>42</v>
      </c>
      <c r="C6" s="15" t="s">
        <v>41</v>
      </c>
      <c r="D6" s="15"/>
    </row>
    <row r="7" spans="1:7" x14ac:dyDescent="0.25">
      <c r="A7" s="15"/>
      <c r="B7" s="15" t="s">
        <v>43</v>
      </c>
      <c r="C7" s="15" t="s">
        <v>44</v>
      </c>
      <c r="D7" s="15"/>
    </row>
    <row r="8" spans="1:7" x14ac:dyDescent="0.25">
      <c r="A8" s="15"/>
      <c r="B8" s="15"/>
      <c r="C8" s="15"/>
      <c r="D8" s="15"/>
    </row>
    <row r="9" spans="1:7" x14ac:dyDescent="0.25">
      <c r="A9" s="15"/>
      <c r="B9" s="15"/>
      <c r="C9" s="15"/>
      <c r="D9" s="15"/>
    </row>
    <row r="10" spans="1:7" ht="15" thickBot="1" x14ac:dyDescent="0.3">
      <c r="A10" s="90" t="s">
        <v>45</v>
      </c>
      <c r="B10" s="90"/>
      <c r="C10" s="90"/>
      <c r="D10" s="90"/>
    </row>
    <row r="11" spans="1:7" x14ac:dyDescent="0.25">
      <c r="A11" s="78" t="s">
        <v>0</v>
      </c>
      <c r="B11" s="36" t="s">
        <v>15</v>
      </c>
      <c r="C11" s="36" t="s">
        <v>16</v>
      </c>
      <c r="D11" s="36" t="s">
        <v>17</v>
      </c>
      <c r="E11" s="37" t="s">
        <v>18</v>
      </c>
      <c r="F11" s="38" t="s">
        <v>19</v>
      </c>
      <c r="G11" s="3"/>
    </row>
    <row r="12" spans="1:7" ht="15" thickBot="1" x14ac:dyDescent="0.3">
      <c r="A12" s="79"/>
      <c r="B12" s="44" t="s">
        <v>20</v>
      </c>
      <c r="C12" s="44" t="s">
        <v>20</v>
      </c>
      <c r="D12" s="44" t="s">
        <v>20</v>
      </c>
      <c r="E12" s="44" t="s">
        <v>21</v>
      </c>
      <c r="F12" s="45" t="s">
        <v>22</v>
      </c>
      <c r="G12" s="3"/>
    </row>
    <row r="13" spans="1:7" x14ac:dyDescent="0.25">
      <c r="A13" s="41" t="s">
        <v>4</v>
      </c>
      <c r="B13" s="42">
        <v>4032</v>
      </c>
      <c r="C13" s="42">
        <v>1680</v>
      </c>
      <c r="D13" s="42">
        <v>1450</v>
      </c>
      <c r="E13" s="42">
        <v>5.3</v>
      </c>
      <c r="F13" s="43">
        <v>5.6</v>
      </c>
      <c r="G13" s="6"/>
    </row>
    <row r="14" spans="1:7" x14ac:dyDescent="0.25">
      <c r="A14" s="39" t="s">
        <v>5</v>
      </c>
      <c r="B14" s="4">
        <v>4330</v>
      </c>
      <c r="C14" s="4">
        <v>1535</v>
      </c>
      <c r="D14" s="4">
        <v>1885</v>
      </c>
      <c r="E14" s="4">
        <v>7.8</v>
      </c>
      <c r="F14" s="40">
        <v>14.5</v>
      </c>
      <c r="G14" s="6"/>
    </row>
    <row r="15" spans="1:7" x14ac:dyDescent="0.25">
      <c r="A15" s="39" t="s">
        <v>10</v>
      </c>
      <c r="B15" s="4">
        <v>4053</v>
      </c>
      <c r="C15" s="4">
        <v>1740</v>
      </c>
      <c r="D15" s="4">
        <v>1449</v>
      </c>
      <c r="E15" s="4">
        <v>6.2</v>
      </c>
      <c r="F15" s="40">
        <v>10.8</v>
      </c>
      <c r="G15" s="6"/>
    </row>
    <row r="16" spans="1:7" x14ac:dyDescent="0.25">
      <c r="A16" s="39" t="s">
        <v>11</v>
      </c>
      <c r="B16" s="4">
        <v>5087</v>
      </c>
      <c r="C16" s="4">
        <v>1868</v>
      </c>
      <c r="D16" s="4">
        <v>1500</v>
      </c>
      <c r="E16" s="4">
        <v>8.5</v>
      </c>
      <c r="F16" s="40">
        <v>25.6</v>
      </c>
      <c r="G16" s="6"/>
    </row>
    <row r="17" spans="1:11" x14ac:dyDescent="0.25">
      <c r="A17" s="39" t="s">
        <v>12</v>
      </c>
      <c r="B17" s="4">
        <v>4560</v>
      </c>
      <c r="C17" s="4">
        <v>1822</v>
      </c>
      <c r="D17" s="4">
        <v>1645</v>
      </c>
      <c r="E17" s="4">
        <v>7.8</v>
      </c>
      <c r="F17" s="40">
        <v>15.8</v>
      </c>
    </row>
    <row r="18" spans="1:11" x14ac:dyDescent="0.25">
      <c r="A18" s="39" t="s">
        <v>14</v>
      </c>
      <c r="B18" s="4">
        <v>3797</v>
      </c>
      <c r="C18" s="4">
        <v>1510</v>
      </c>
      <c r="D18" s="4">
        <v>1820</v>
      </c>
      <c r="E18" s="4">
        <v>5.5</v>
      </c>
      <c r="F18" s="40">
        <v>9.6</v>
      </c>
    </row>
    <row r="19" spans="1:11" ht="15" thickBot="1" x14ac:dyDescent="0.3">
      <c r="A19" s="46" t="s">
        <v>35</v>
      </c>
      <c r="B19" s="47">
        <v>4585</v>
      </c>
      <c r="C19" s="47">
        <v>1855</v>
      </c>
      <c r="D19" s="47">
        <v>1679</v>
      </c>
      <c r="E19" s="47">
        <v>7.6</v>
      </c>
      <c r="F19" s="48">
        <v>19.600000000000001</v>
      </c>
    </row>
    <row r="20" spans="1:11" ht="46.8" customHeight="1" x14ac:dyDescent="0.25">
      <c r="A20" s="87" t="s">
        <v>46</v>
      </c>
      <c r="B20" s="87"/>
      <c r="C20" s="87"/>
      <c r="D20" s="87"/>
      <c r="E20" s="87"/>
      <c r="F20" s="87"/>
    </row>
    <row r="23" spans="1:11" x14ac:dyDescent="0.25">
      <c r="A23" s="71" t="s">
        <v>47</v>
      </c>
      <c r="B23" s="71"/>
      <c r="C23" s="71"/>
      <c r="D23" s="71"/>
    </row>
    <row r="24" spans="1:11" x14ac:dyDescent="0.25">
      <c r="A24" s="88" t="s">
        <v>64</v>
      </c>
      <c r="B24" s="89"/>
      <c r="C24" s="89"/>
      <c r="D24" s="89"/>
      <c r="E24" s="89"/>
      <c r="F24" s="89"/>
    </row>
    <row r="25" spans="1:11" ht="15" thickBot="1" x14ac:dyDescent="0.3">
      <c r="A25" s="76" t="s">
        <v>48</v>
      </c>
      <c r="B25" s="76"/>
      <c r="C25" s="76"/>
      <c r="D25" s="76"/>
    </row>
    <row r="26" spans="1:11" x14ac:dyDescent="0.25">
      <c r="A26" s="78" t="s">
        <v>0</v>
      </c>
      <c r="B26" s="36" t="s">
        <v>15</v>
      </c>
      <c r="C26" s="36" t="s">
        <v>16</v>
      </c>
      <c r="D26" s="36" t="s">
        <v>17</v>
      </c>
      <c r="E26" s="37" t="s">
        <v>18</v>
      </c>
      <c r="F26" s="38" t="s">
        <v>19</v>
      </c>
      <c r="G26" s="80" t="s">
        <v>63</v>
      </c>
    </row>
    <row r="27" spans="1:11" ht="15" thickBot="1" x14ac:dyDescent="0.3">
      <c r="A27" s="79"/>
      <c r="B27" s="44" t="s">
        <v>20</v>
      </c>
      <c r="C27" s="44" t="s">
        <v>20</v>
      </c>
      <c r="D27" s="44" t="s">
        <v>20</v>
      </c>
      <c r="E27" s="44" t="s">
        <v>21</v>
      </c>
      <c r="F27" s="45" t="s">
        <v>22</v>
      </c>
      <c r="G27" s="81"/>
    </row>
    <row r="28" spans="1:11" x14ac:dyDescent="0.25">
      <c r="A28" s="41" t="s">
        <v>4</v>
      </c>
      <c r="B28" s="42">
        <v>4032</v>
      </c>
      <c r="C28" s="42">
        <v>1680</v>
      </c>
      <c r="D28" s="42">
        <v>1450</v>
      </c>
      <c r="E28" s="42">
        <v>5.3</v>
      </c>
      <c r="F28" s="43">
        <v>5.6</v>
      </c>
      <c r="G28" s="82" t="s">
        <v>50</v>
      </c>
      <c r="I28" t="s">
        <v>23</v>
      </c>
      <c r="J28" t="s">
        <v>24</v>
      </c>
      <c r="K28" t="s">
        <v>25</v>
      </c>
    </row>
    <row r="29" spans="1:11" x14ac:dyDescent="0.25">
      <c r="A29" s="39" t="s">
        <v>5</v>
      </c>
      <c r="B29" s="4">
        <v>4330</v>
      </c>
      <c r="C29" s="4">
        <v>1535</v>
      </c>
      <c r="D29" s="4">
        <v>1885</v>
      </c>
      <c r="E29" s="4">
        <v>7.8</v>
      </c>
      <c r="F29" s="40">
        <v>14.5</v>
      </c>
      <c r="G29" s="83"/>
      <c r="I29" t="s">
        <v>26</v>
      </c>
      <c r="J29" t="s">
        <v>27</v>
      </c>
      <c r="K29" t="s">
        <v>28</v>
      </c>
    </row>
    <row r="30" spans="1:11" x14ac:dyDescent="0.25">
      <c r="A30" s="39" t="s">
        <v>10</v>
      </c>
      <c r="B30" s="4">
        <v>4053</v>
      </c>
      <c r="C30" s="4">
        <v>1740</v>
      </c>
      <c r="D30" s="4">
        <v>1449</v>
      </c>
      <c r="E30" s="4">
        <v>6.2</v>
      </c>
      <c r="F30" s="40">
        <v>10.8</v>
      </c>
      <c r="G30" s="83"/>
      <c r="I30" s="2" t="s">
        <v>29</v>
      </c>
      <c r="J30" s="2" t="s">
        <v>30</v>
      </c>
      <c r="K30" s="2" t="s">
        <v>31</v>
      </c>
    </row>
    <row r="31" spans="1:11" x14ac:dyDescent="0.25">
      <c r="A31" s="39" t="s">
        <v>11</v>
      </c>
      <c r="B31" s="4">
        <v>5087</v>
      </c>
      <c r="C31" s="4">
        <v>1868</v>
      </c>
      <c r="D31" s="4">
        <v>1500</v>
      </c>
      <c r="E31" s="4">
        <v>8.5</v>
      </c>
      <c r="F31" s="40">
        <v>25.6</v>
      </c>
      <c r="G31" s="83"/>
      <c r="I31" s="2" t="s">
        <v>32</v>
      </c>
      <c r="J31" s="2" t="s">
        <v>33</v>
      </c>
      <c r="K31" s="2" t="s">
        <v>34</v>
      </c>
    </row>
    <row r="32" spans="1:11" x14ac:dyDescent="0.25">
      <c r="A32" s="54" t="s">
        <v>12</v>
      </c>
      <c r="B32" s="55">
        <v>4560</v>
      </c>
      <c r="C32" s="55">
        <v>1822</v>
      </c>
      <c r="D32" s="55">
        <v>1645</v>
      </c>
      <c r="E32" s="55">
        <v>7.8</v>
      </c>
      <c r="F32" s="56">
        <v>15.8</v>
      </c>
      <c r="G32" s="84" t="s">
        <v>51</v>
      </c>
    </row>
    <row r="33" spans="1:7" x14ac:dyDescent="0.25">
      <c r="A33" s="54" t="s">
        <v>14</v>
      </c>
      <c r="B33" s="55">
        <v>3797</v>
      </c>
      <c r="C33" s="55">
        <v>1510</v>
      </c>
      <c r="D33" s="55">
        <v>1820</v>
      </c>
      <c r="E33" s="55">
        <v>5.5</v>
      </c>
      <c r="F33" s="56">
        <v>9.6</v>
      </c>
      <c r="G33" s="84"/>
    </row>
    <row r="34" spans="1:7" x14ac:dyDescent="0.25">
      <c r="A34" s="6"/>
      <c r="B34" s="6"/>
      <c r="C34" s="6"/>
      <c r="D34" s="6"/>
      <c r="E34" s="6"/>
      <c r="F34" s="6"/>
      <c r="G34" s="52"/>
    </row>
    <row r="36" spans="1:7" ht="15" thickBot="1" x14ac:dyDescent="0.3">
      <c r="A36" s="85" t="s">
        <v>65</v>
      </c>
      <c r="B36" s="85"/>
      <c r="C36" s="85"/>
      <c r="D36" s="85"/>
      <c r="E36" s="85"/>
      <c r="F36" s="85"/>
    </row>
    <row r="37" spans="1:7" ht="15" thickBot="1" x14ac:dyDescent="0.3">
      <c r="A37" s="49" t="s">
        <v>66</v>
      </c>
      <c r="B37" s="10">
        <f>MAX(B28:B31)</f>
        <v>5087</v>
      </c>
      <c r="C37" s="10">
        <f t="shared" ref="C37:F37" si="0">MAX(C28:C31)</f>
        <v>1868</v>
      </c>
      <c r="D37" s="10">
        <f t="shared" si="0"/>
        <v>1885</v>
      </c>
      <c r="E37" s="10">
        <f t="shared" si="0"/>
        <v>8.5</v>
      </c>
      <c r="F37" s="10">
        <f t="shared" si="0"/>
        <v>25.6</v>
      </c>
    </row>
    <row r="38" spans="1:7" x14ac:dyDescent="0.25">
      <c r="A38" s="50" t="s">
        <v>67</v>
      </c>
      <c r="B38" s="1">
        <f>MIN(B28:B31)</f>
        <v>4032</v>
      </c>
      <c r="C38" s="1">
        <f t="shared" ref="C38:F38" si="1">MIN(C28:C31)</f>
        <v>1535</v>
      </c>
      <c r="D38" s="1">
        <f t="shared" si="1"/>
        <v>1449</v>
      </c>
      <c r="E38" s="1">
        <f t="shared" si="1"/>
        <v>5.3</v>
      </c>
      <c r="F38" s="1">
        <f t="shared" si="1"/>
        <v>5.6</v>
      </c>
    </row>
    <row r="39" spans="1:7" x14ac:dyDescent="0.25">
      <c r="A39" s="50" t="s">
        <v>69</v>
      </c>
      <c r="B39" s="1">
        <f>B37-B38</f>
        <v>1055</v>
      </c>
      <c r="C39" s="1">
        <f t="shared" ref="C39:F39" si="2">C37-C38</f>
        <v>333</v>
      </c>
      <c r="D39" s="1">
        <f t="shared" si="2"/>
        <v>436</v>
      </c>
      <c r="E39" s="1">
        <f t="shared" si="2"/>
        <v>3.2</v>
      </c>
      <c r="F39" s="1">
        <f t="shared" si="2"/>
        <v>20</v>
      </c>
    </row>
    <row r="40" spans="1:7" ht="15" thickBot="1" x14ac:dyDescent="0.3">
      <c r="A40" s="12"/>
      <c r="B40" s="1"/>
      <c r="C40" s="1"/>
      <c r="D40" s="13"/>
    </row>
    <row r="41" spans="1:7" x14ac:dyDescent="0.25">
      <c r="A41" s="78" t="s">
        <v>0</v>
      </c>
      <c r="B41" s="36" t="s">
        <v>15</v>
      </c>
      <c r="C41" s="36" t="s">
        <v>16</v>
      </c>
      <c r="D41" s="36" t="s">
        <v>17</v>
      </c>
      <c r="E41" s="37" t="s">
        <v>18</v>
      </c>
      <c r="F41" s="38" t="s">
        <v>19</v>
      </c>
      <c r="G41" s="80" t="s">
        <v>63</v>
      </c>
    </row>
    <row r="42" spans="1:7" ht="15" thickBot="1" x14ac:dyDescent="0.3">
      <c r="A42" s="79"/>
      <c r="B42" s="44" t="s">
        <v>68</v>
      </c>
      <c r="C42" s="44" t="s">
        <v>68</v>
      </c>
      <c r="D42" s="44" t="s">
        <v>68</v>
      </c>
      <c r="E42" s="44" t="s">
        <v>68</v>
      </c>
      <c r="F42" s="45" t="s">
        <v>68</v>
      </c>
      <c r="G42" s="81"/>
    </row>
    <row r="43" spans="1:7" x14ac:dyDescent="0.25">
      <c r="A43" s="41" t="s">
        <v>4</v>
      </c>
      <c r="B43" s="57">
        <f>(B28-B$38)/$B$39</f>
        <v>0</v>
      </c>
      <c r="C43" s="57">
        <f t="shared" ref="C43:F43" si="3">(C28-C$38)/$B$39</f>
        <v>0.13744075829383887</v>
      </c>
      <c r="D43" s="57">
        <f t="shared" si="3"/>
        <v>9.4786729857819908E-4</v>
      </c>
      <c r="E43" s="57">
        <f t="shared" si="3"/>
        <v>0</v>
      </c>
      <c r="F43" s="57">
        <f t="shared" si="3"/>
        <v>0</v>
      </c>
      <c r="G43" s="82" t="s">
        <v>50</v>
      </c>
    </row>
    <row r="44" spans="1:7" x14ac:dyDescent="0.25">
      <c r="A44" s="39" t="s">
        <v>5</v>
      </c>
      <c r="B44" s="57">
        <f t="shared" ref="B44:F44" si="4">(B29-B$38)/$B$39</f>
        <v>0.28246445497630329</v>
      </c>
      <c r="C44" s="57">
        <f t="shared" si="4"/>
        <v>0</v>
      </c>
      <c r="D44" s="57">
        <f t="shared" si="4"/>
        <v>0.41327014218009478</v>
      </c>
      <c r="E44" s="57">
        <f t="shared" si="4"/>
        <v>2.3696682464454978E-3</v>
      </c>
      <c r="F44" s="57">
        <f t="shared" si="4"/>
        <v>8.4360189573459716E-3</v>
      </c>
      <c r="G44" s="83"/>
    </row>
    <row r="45" spans="1:7" x14ac:dyDescent="0.25">
      <c r="A45" s="39" t="s">
        <v>10</v>
      </c>
      <c r="B45" s="57">
        <f t="shared" ref="B45:F45" si="5">(B30-B$38)/$B$39</f>
        <v>1.9905213270142181E-2</v>
      </c>
      <c r="C45" s="57">
        <f t="shared" si="5"/>
        <v>0.19431279620853081</v>
      </c>
      <c r="D45" s="57">
        <f t="shared" si="5"/>
        <v>0</v>
      </c>
      <c r="E45" s="57">
        <f t="shared" si="5"/>
        <v>8.5308056872037948E-4</v>
      </c>
      <c r="F45" s="57">
        <f t="shared" si="5"/>
        <v>4.9289099526066363E-3</v>
      </c>
      <c r="G45" s="83"/>
    </row>
    <row r="46" spans="1:7" x14ac:dyDescent="0.25">
      <c r="A46" s="39" t="s">
        <v>11</v>
      </c>
      <c r="B46" s="57">
        <f t="shared" ref="B46:F46" si="6">(B31-B$38)/$B$39</f>
        <v>1</v>
      </c>
      <c r="C46" s="57">
        <f t="shared" si="6"/>
        <v>0.31563981042654027</v>
      </c>
      <c r="D46" s="57">
        <f t="shared" si="6"/>
        <v>4.8341232227488151E-2</v>
      </c>
      <c r="E46" s="57">
        <f t="shared" si="6"/>
        <v>3.0331753554502373E-3</v>
      </c>
      <c r="F46" s="57">
        <f t="shared" si="6"/>
        <v>1.8957345971563982E-2</v>
      </c>
      <c r="G46" s="83"/>
    </row>
    <row r="47" spans="1:7" x14ac:dyDescent="0.25">
      <c r="A47" s="4" t="s">
        <v>12</v>
      </c>
      <c r="B47" s="58">
        <f t="shared" ref="B47:F47" si="7">(B32-B$38)/$B$39</f>
        <v>0.50047393364928905</v>
      </c>
      <c r="C47" s="58">
        <f t="shared" si="7"/>
        <v>0.27203791469194311</v>
      </c>
      <c r="D47" s="58">
        <f t="shared" si="7"/>
        <v>0.18578199052132702</v>
      </c>
      <c r="E47" s="57">
        <f t="shared" si="7"/>
        <v>2.3696682464454978E-3</v>
      </c>
      <c r="F47" s="57">
        <f t="shared" si="7"/>
        <v>9.668246445497632E-3</v>
      </c>
      <c r="G47" s="84" t="s">
        <v>51</v>
      </c>
    </row>
    <row r="48" spans="1:7" x14ac:dyDescent="0.25">
      <c r="A48" s="4" t="s">
        <v>14</v>
      </c>
      <c r="B48" s="58">
        <f t="shared" ref="B48:F48" si="8">(B33-B$38)/$B$39</f>
        <v>-0.22274881516587677</v>
      </c>
      <c r="C48" s="58">
        <f t="shared" si="8"/>
        <v>-2.3696682464454975E-2</v>
      </c>
      <c r="D48" s="58">
        <f t="shared" si="8"/>
        <v>0.35165876777251187</v>
      </c>
      <c r="E48" s="57">
        <f t="shared" si="8"/>
        <v>1.8957345971563997E-4</v>
      </c>
      <c r="F48" s="57">
        <f t="shared" si="8"/>
        <v>3.7914691943127963E-3</v>
      </c>
      <c r="G48" s="84"/>
    </row>
    <row r="49" spans="1:9" x14ac:dyDescent="0.25">
      <c r="A49" s="53"/>
      <c r="B49" s="53"/>
      <c r="C49" s="53"/>
      <c r="D49" s="53"/>
    </row>
    <row r="50" spans="1:9" ht="15" thickBot="1" x14ac:dyDescent="0.3">
      <c r="A50" s="85" t="s">
        <v>70</v>
      </c>
      <c r="B50" s="85"/>
      <c r="C50" s="85"/>
      <c r="D50" s="85"/>
      <c r="E50" s="85"/>
      <c r="F50" s="85"/>
    </row>
    <row r="51" spans="1:9" x14ac:dyDescent="0.25">
      <c r="A51" s="78" t="s">
        <v>0</v>
      </c>
      <c r="B51" s="36" t="s">
        <v>15</v>
      </c>
      <c r="C51" s="36" t="s">
        <v>16</v>
      </c>
      <c r="D51" s="36" t="s">
        <v>17</v>
      </c>
      <c r="E51" s="37" t="s">
        <v>18</v>
      </c>
      <c r="F51" s="38" t="s">
        <v>19</v>
      </c>
    </row>
    <row r="52" spans="1:9" x14ac:dyDescent="0.25">
      <c r="A52" s="86"/>
      <c r="B52" s="59" t="s">
        <v>68</v>
      </c>
      <c r="C52" s="59" t="s">
        <v>68</v>
      </c>
      <c r="D52" s="59" t="s">
        <v>68</v>
      </c>
      <c r="E52" s="59" t="s">
        <v>68</v>
      </c>
      <c r="F52" s="60" t="s">
        <v>68</v>
      </c>
    </row>
    <row r="53" spans="1:9" x14ac:dyDescent="0.25">
      <c r="A53" s="61" t="s">
        <v>35</v>
      </c>
      <c r="B53" s="62">
        <f>(B19-B39)/B39</f>
        <v>3.3459715639810428</v>
      </c>
      <c r="C53" s="62">
        <f t="shared" ref="C53:F53" si="9">(C19-C39)/C39</f>
        <v>4.5705705705705704</v>
      </c>
      <c r="D53" s="62">
        <f t="shared" si="9"/>
        <v>2.8509174311926606</v>
      </c>
      <c r="E53" s="62">
        <f t="shared" si="9"/>
        <v>1.3749999999999998</v>
      </c>
      <c r="F53" s="62">
        <f t="shared" si="9"/>
        <v>-1.9999999999999928E-2</v>
      </c>
    </row>
    <row r="55" spans="1:9" ht="15" thickBot="1" x14ac:dyDescent="0.3">
      <c r="A55" s="77" t="s">
        <v>53</v>
      </c>
      <c r="B55" s="77"/>
      <c r="C55" s="77"/>
      <c r="D55" s="77"/>
    </row>
    <row r="56" spans="1:9" x14ac:dyDescent="0.25">
      <c r="A56" s="63" t="s">
        <v>0</v>
      </c>
      <c r="B56" s="36" t="s">
        <v>15</v>
      </c>
      <c r="C56" s="36" t="s">
        <v>16</v>
      </c>
      <c r="D56" s="36" t="s">
        <v>17</v>
      </c>
      <c r="E56" s="37" t="s">
        <v>18</v>
      </c>
      <c r="F56" s="38" t="s">
        <v>19</v>
      </c>
      <c r="G56" s="64" t="s">
        <v>54</v>
      </c>
      <c r="H56" s="14" t="s">
        <v>56</v>
      </c>
    </row>
    <row r="57" spans="1:9" x14ac:dyDescent="0.25">
      <c r="A57" s="41" t="s">
        <v>5</v>
      </c>
      <c r="B57" s="57">
        <v>0.28246445497630329</v>
      </c>
      <c r="C57" s="57">
        <v>0</v>
      </c>
      <c r="D57" s="57">
        <v>0.41327014218009478</v>
      </c>
      <c r="E57" s="57">
        <v>2.3696682464454978E-3</v>
      </c>
      <c r="F57" s="57">
        <v>8.4360189573459716E-3</v>
      </c>
      <c r="G57" s="8">
        <f>SQRT((B57-$B$47)^2+(C57-$C$47)^2+(D57-$D$47)^2+(E57-$E$47)^2+(E57-$E$47)^2)</f>
        <v>0.41627349058801533</v>
      </c>
      <c r="H57" s="14" t="s">
        <v>57</v>
      </c>
      <c r="I57" s="14" t="s">
        <v>59</v>
      </c>
    </row>
    <row r="58" spans="1:9" x14ac:dyDescent="0.25">
      <c r="A58" s="39" t="s">
        <v>11</v>
      </c>
      <c r="B58" s="57">
        <v>1</v>
      </c>
      <c r="C58" s="57">
        <v>0.31563981042654027</v>
      </c>
      <c r="D58" s="57">
        <v>4.8341232227488151E-2</v>
      </c>
      <c r="E58" s="57">
        <v>3.0331753554502373E-3</v>
      </c>
      <c r="F58" s="57">
        <v>1.8957345971563982E-2</v>
      </c>
      <c r="G58">
        <f>SQRT((B58-$B$47)^2+(C58-$C$47)^2+(D58-$D$47)^2+(E58-$E$47)^2+(E58-$E$47)^2)</f>
        <v>0.51992139675071891</v>
      </c>
      <c r="H58" s="14" t="s">
        <v>57</v>
      </c>
    </row>
    <row r="59" spans="1:9" x14ac:dyDescent="0.25">
      <c r="A59" s="39" t="s">
        <v>10</v>
      </c>
      <c r="B59" s="57">
        <v>1.9905213270142181E-2</v>
      </c>
      <c r="C59" s="57">
        <v>0.19431279620853081</v>
      </c>
      <c r="D59" s="57">
        <v>0</v>
      </c>
      <c r="E59" s="57">
        <v>8.5308056872037948E-4</v>
      </c>
      <c r="F59" s="57">
        <v>4.9289099526066363E-3</v>
      </c>
      <c r="G59">
        <f>SQRT((B59-$B$47)^2+(C59-$C$47)^2+(D59-$D$47)^2+(E59-$E$47)^2+(E59-$E$47)^2)</f>
        <v>0.521063371509211</v>
      </c>
      <c r="H59" s="14" t="s">
        <v>58</v>
      </c>
    </row>
    <row r="60" spans="1:9" x14ac:dyDescent="0.25">
      <c r="A60" s="39" t="s">
        <v>4</v>
      </c>
      <c r="B60" s="57">
        <v>0</v>
      </c>
      <c r="C60" s="57">
        <v>0.13744075829383887</v>
      </c>
      <c r="D60" s="57">
        <v>9.4786729857819908E-4</v>
      </c>
      <c r="E60" s="57">
        <v>0</v>
      </c>
      <c r="F60" s="57">
        <v>0</v>
      </c>
      <c r="G60">
        <f>SQRT((B60-$B$47)^2+(C60-$C$47)^2+(D60-$D$47)^2+(E60-$E$47)^2+(E60-$E$47)^2)</f>
        <v>0.5502412530295846</v>
      </c>
    </row>
    <row r="61" spans="1:9" ht="15" thickBot="1" x14ac:dyDescent="0.3">
      <c r="A61" s="51"/>
      <c r="B61" s="51"/>
      <c r="C61" s="51"/>
      <c r="D61" s="51"/>
      <c r="E61" s="7"/>
    </row>
    <row r="62" spans="1:9" x14ac:dyDescent="0.25">
      <c r="A62" s="63" t="s">
        <v>0</v>
      </c>
      <c r="B62" s="36" t="s">
        <v>15</v>
      </c>
      <c r="C62" s="36" t="s">
        <v>16</v>
      </c>
      <c r="D62" s="36" t="s">
        <v>17</v>
      </c>
      <c r="E62" s="37" t="s">
        <v>18</v>
      </c>
      <c r="F62" s="38" t="s">
        <v>19</v>
      </c>
      <c r="G62" s="64" t="s">
        <v>55</v>
      </c>
      <c r="H62" s="14" t="s">
        <v>56</v>
      </c>
    </row>
    <row r="63" spans="1:9" x14ac:dyDescent="0.25">
      <c r="A63" s="41" t="s">
        <v>4</v>
      </c>
      <c r="B63" s="57">
        <v>0</v>
      </c>
      <c r="C63" s="57">
        <v>0.13744075829383887</v>
      </c>
      <c r="D63" s="57">
        <v>9.4786729857819908E-4</v>
      </c>
      <c r="E63" s="57">
        <v>0</v>
      </c>
      <c r="F63" s="57">
        <v>0</v>
      </c>
      <c r="G63">
        <f>SQRT((B63-$B$48)^2+(C63-$C$48)^2+(D63-$D$48)^2+(E63-$E$48)^2+(E63-$E$48)^2)</f>
        <v>0.44562373933551302</v>
      </c>
      <c r="H63" s="14" t="s">
        <v>58</v>
      </c>
      <c r="I63" s="14" t="s">
        <v>60</v>
      </c>
    </row>
    <row r="64" spans="1:9" x14ac:dyDescent="0.25">
      <c r="A64" s="39" t="s">
        <v>10</v>
      </c>
      <c r="B64" s="57">
        <v>1.9905213270142181E-2</v>
      </c>
      <c r="C64" s="57">
        <v>0.19431279620853081</v>
      </c>
      <c r="D64" s="57">
        <v>0</v>
      </c>
      <c r="E64" s="57">
        <v>8.5308056872037948E-4</v>
      </c>
      <c r="F64" s="57">
        <v>4.9289099526066363E-3</v>
      </c>
      <c r="G64">
        <f>SQRT((B64-$B$48)^2+(C64-$C$48)^2+(D64-$D$48)^2+(E64-$E$48)^2+(E64-$E$48)^2)</f>
        <v>0.47966017110256731</v>
      </c>
      <c r="H64" s="14" t="s">
        <v>58</v>
      </c>
    </row>
    <row r="65" spans="1:9" x14ac:dyDescent="0.25">
      <c r="A65" s="39" t="s">
        <v>5</v>
      </c>
      <c r="B65" s="57">
        <v>0.28246445497630329</v>
      </c>
      <c r="C65" s="57">
        <v>0</v>
      </c>
      <c r="D65" s="57">
        <v>0.41327014218009478</v>
      </c>
      <c r="E65" s="57">
        <v>2.3696682464454978E-3</v>
      </c>
      <c r="F65" s="57">
        <v>8.4360189573459716E-3</v>
      </c>
      <c r="G65">
        <f>SQRT((B65-$B$48)^2+(C65-$C$48)^2+(D65-$D$48)^2+(E65-$E$48)^2+(E65-$E$48)^2)</f>
        <v>0.50951687721853356</v>
      </c>
      <c r="H65" s="14" t="s">
        <v>57</v>
      </c>
    </row>
    <row r="66" spans="1:9" x14ac:dyDescent="0.25">
      <c r="A66" s="39" t="s">
        <v>11</v>
      </c>
      <c r="B66" s="57">
        <v>1</v>
      </c>
      <c r="C66" s="57">
        <v>0.31563981042654027</v>
      </c>
      <c r="D66" s="57">
        <v>4.8341232227488151E-2</v>
      </c>
      <c r="E66" s="57">
        <v>3.0331753554502373E-3</v>
      </c>
      <c r="F66" s="57">
        <v>1.8957345971563982E-2</v>
      </c>
      <c r="G66">
        <f>SQRT((B66-$B$48)^2+(C66-$C$48)^2+(D66-$D$48)^2+(E66-$E$48)^2+(E66-$E$48)^2)</f>
        <v>1.3047151489538649</v>
      </c>
    </row>
    <row r="67" spans="1:9" x14ac:dyDescent="0.25">
      <c r="A67" s="51"/>
      <c r="B67" s="51"/>
      <c r="C67" s="51"/>
      <c r="D67" s="51"/>
      <c r="E67" s="7"/>
    </row>
    <row r="69" spans="1:9" x14ac:dyDescent="0.25">
      <c r="A69" s="70" t="s">
        <v>61</v>
      </c>
      <c r="B69" s="70"/>
      <c r="C69" s="70"/>
      <c r="D69" s="70"/>
      <c r="E69" s="70"/>
      <c r="F69" s="70"/>
    </row>
    <row r="72" spans="1:9" x14ac:dyDescent="0.25">
      <c r="A72" s="65" t="s">
        <v>72</v>
      </c>
      <c r="B72" s="65"/>
      <c r="C72" s="65"/>
      <c r="D72" s="65"/>
    </row>
    <row r="73" spans="1:9" ht="15" thickBot="1" x14ac:dyDescent="0.3"/>
    <row r="74" spans="1:9" x14ac:dyDescent="0.25">
      <c r="A74" s="63" t="s">
        <v>0</v>
      </c>
      <c r="B74" s="36" t="s">
        <v>15</v>
      </c>
      <c r="C74" s="36" t="s">
        <v>16</v>
      </c>
      <c r="D74" s="36" t="s">
        <v>17</v>
      </c>
      <c r="E74" s="37" t="s">
        <v>18</v>
      </c>
      <c r="F74" s="38" t="s">
        <v>19</v>
      </c>
      <c r="G74" s="64" t="s">
        <v>71</v>
      </c>
      <c r="H74" s="14" t="s">
        <v>56</v>
      </c>
    </row>
    <row r="75" spans="1:9" x14ac:dyDescent="0.25">
      <c r="A75" s="41" t="s">
        <v>11</v>
      </c>
      <c r="B75" s="57">
        <v>1</v>
      </c>
      <c r="C75" s="57">
        <v>0.31563981042654027</v>
      </c>
      <c r="D75" s="57">
        <v>4.8341232227488151E-2</v>
      </c>
      <c r="E75" s="57">
        <v>3.0331753554502373E-3</v>
      </c>
      <c r="F75" s="57">
        <v>1.8957345971563982E-2</v>
      </c>
      <c r="G75">
        <f>SQRT((B75-$B$53)^2+(C75-$C$53)^2+(D75-$D$53)^2+(E75-$E$53)^2+(E75-$E$53)^2)</f>
        <v>5.935236948891264</v>
      </c>
      <c r="H75" s="14" t="s">
        <v>57</v>
      </c>
      <c r="I75" s="14" t="s">
        <v>59</v>
      </c>
    </row>
    <row r="76" spans="1:9" x14ac:dyDescent="0.25">
      <c r="A76" s="39" t="s">
        <v>5</v>
      </c>
      <c r="B76" s="57">
        <v>0.28246445497630329</v>
      </c>
      <c r="C76" s="57">
        <v>0</v>
      </c>
      <c r="D76" s="57">
        <v>0.41327014218009478</v>
      </c>
      <c r="E76" s="57">
        <v>2.3696682464454978E-3</v>
      </c>
      <c r="F76" s="57">
        <v>8.4360189573459716E-3</v>
      </c>
      <c r="G76">
        <f>SQRT((B76-$B$53)^2+(C76-$C$53)^2+(D76-$D$53)^2+(E76-$E$53)^2+(E76-$E$53)^2)</f>
        <v>6.3234123310455113</v>
      </c>
      <c r="H76" s="14" t="s">
        <v>57</v>
      </c>
    </row>
    <row r="77" spans="1:9" x14ac:dyDescent="0.25">
      <c r="A77" s="39" t="s">
        <v>10</v>
      </c>
      <c r="B77" s="57">
        <v>1.9905213270142181E-2</v>
      </c>
      <c r="C77" s="57">
        <v>0.19431279620853081</v>
      </c>
      <c r="D77" s="57">
        <v>0</v>
      </c>
      <c r="E77" s="57">
        <v>8.5308056872037948E-4</v>
      </c>
      <c r="F77" s="57">
        <v>4.9289099526066363E-3</v>
      </c>
      <c r="G77">
        <f>SQRT((B77-$B$53)^2+(C77-$C$53)^2+(D77-$D$53)^2+(E77-$E$53)^2+(E77-$E$53)^2)</f>
        <v>6.4898874557914041</v>
      </c>
      <c r="H77" s="14" t="s">
        <v>58</v>
      </c>
    </row>
    <row r="78" spans="1:9" x14ac:dyDescent="0.25">
      <c r="A78" s="39" t="s">
        <v>4</v>
      </c>
      <c r="B78" s="57">
        <v>0</v>
      </c>
      <c r="C78" s="57">
        <v>0.13744075829383887</v>
      </c>
      <c r="D78" s="57">
        <v>9.4786729857819908E-4</v>
      </c>
      <c r="E78" s="57">
        <v>0</v>
      </c>
      <c r="F78" s="57">
        <v>0</v>
      </c>
      <c r="G78">
        <f>SQRT((B78-$B$53)^2+(C78-$C$53)^2+(D78-$D$53)^2+(E78-$E$53)^2+(E78-$E$53)^2)</f>
        <v>6.5384816398449184</v>
      </c>
      <c r="H78" s="14"/>
      <c r="I78" s="14"/>
    </row>
  </sheetData>
  <sortState xmlns:xlrd2="http://schemas.microsoft.com/office/spreadsheetml/2017/richdata2" ref="A75:I78">
    <sortCondition ref="G75:G78"/>
  </sortState>
  <mergeCells count="22">
    <mergeCell ref="A1:D1"/>
    <mergeCell ref="A2:D2"/>
    <mergeCell ref="A10:D10"/>
    <mergeCell ref="A23:D23"/>
    <mergeCell ref="A72:D72"/>
    <mergeCell ref="A11:A12"/>
    <mergeCell ref="A20:F20"/>
    <mergeCell ref="A26:A27"/>
    <mergeCell ref="G26:G27"/>
    <mergeCell ref="G28:G31"/>
    <mergeCell ref="G32:G33"/>
    <mergeCell ref="A36:F36"/>
    <mergeCell ref="A24:F24"/>
    <mergeCell ref="A69:F69"/>
    <mergeCell ref="A25:D25"/>
    <mergeCell ref="A55:D55"/>
    <mergeCell ref="A41:A42"/>
    <mergeCell ref="G41:G42"/>
    <mergeCell ref="G43:G46"/>
    <mergeCell ref="G47:G48"/>
    <mergeCell ref="A50:F50"/>
    <mergeCell ref="A51:A5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基础数据+模型训练+预测</vt:lpstr>
      <vt:lpstr>扩展数据+模型训练+预测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Einstein Tan</cp:lastModifiedBy>
  <dcterms:created xsi:type="dcterms:W3CDTF">2006-09-16T00:00:00Z</dcterms:created>
  <dcterms:modified xsi:type="dcterms:W3CDTF">2026-10-21T07:08:43Z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E7263AEAC05643849BE9172668CFE7BB</vt:lpwstr>
  </property>
  <property fmtid="{D5CDD505-2E9C-101B-9397-08002B2CF9AE}" pid="3" name="KSOProductBuildVer">
    <vt:lpwstr>2052-11.8.2.12085</vt:lpwstr>
  </property>
</Properties>
</file>