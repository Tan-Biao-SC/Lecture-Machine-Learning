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tan\projects\machine-learning\P1-KNN\T1-Car-Recommendation\"/>
    </mc:Choice>
  </mc:AlternateContent>
  <xr:revisionPtr revIDLastSave="0" documentId="13_ncr:1_{E54AB1A7-37F1-4F16-8F04-3967980E0F7F}" xr6:coauthVersionLast="47" xr6:coauthVersionMax="47" xr10:uidLastSave="{00000000-0000-0000-0000-000000000000}"/>
  <bookViews>
    <workbookView xWindow="13020" yWindow="204" windowWidth="28356" windowHeight="17172" tabRatio="888" xr2:uid="{00000000-000D-0000-FFFF-FFFF00000000}"/>
  </bookViews>
  <sheets>
    <sheet name="基础数据 表1-1" sheetId="1" r:id="rId1"/>
    <sheet name="训练+测试集 表1-2" sheetId="2" r:id="rId2"/>
    <sheet name="计算d值 图1-3" sheetId="3" r:id="rId3"/>
    <sheet name="加油耗售价 表1-3" sheetId="4" r:id="rId4"/>
    <sheet name="图1-10" sheetId="8" r:id="rId5"/>
    <sheet name="图1-11" sheetId="10" r:id="rId6"/>
    <sheet name="图1-12 d值升序排序" sheetId="5" r:id="rId7"/>
    <sheet name="视频演示增加一个车型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7" l="1"/>
  <c r="E10" i="7"/>
  <c r="D10" i="7"/>
  <c r="C10" i="7"/>
  <c r="B10" i="7"/>
  <c r="F9" i="7"/>
  <c r="F11" i="7" s="1"/>
  <c r="E9" i="7"/>
  <c r="E11" i="7" s="1"/>
  <c r="D9" i="7"/>
  <c r="D11" i="7" s="1"/>
  <c r="C9" i="7"/>
  <c r="B9" i="7"/>
  <c r="D16" i="10"/>
  <c r="C16" i="10"/>
  <c r="D11" i="10"/>
  <c r="D14" i="10" s="1"/>
  <c r="C11" i="10"/>
  <c r="C15" i="10" s="1"/>
  <c r="F10" i="10"/>
  <c r="F15" i="10" s="1"/>
  <c r="E10" i="10"/>
  <c r="D10" i="10"/>
  <c r="D13" i="10" s="1"/>
  <c r="C10" i="10"/>
  <c r="C13" i="10" s="1"/>
  <c r="B10" i="10"/>
  <c r="F9" i="10"/>
  <c r="F11" i="10" s="1"/>
  <c r="E9" i="10"/>
  <c r="D9" i="10"/>
  <c r="C9" i="10"/>
  <c r="B9" i="10"/>
  <c r="B11" i="10" s="1"/>
  <c r="F16" i="8"/>
  <c r="F11" i="8"/>
  <c r="F15" i="8" s="1"/>
  <c r="E11" i="8"/>
  <c r="E17" i="8" s="1"/>
  <c r="D11" i="8"/>
  <c r="D14" i="8" s="1"/>
  <c r="C11" i="8"/>
  <c r="C17" i="8" s="1"/>
  <c r="F10" i="8"/>
  <c r="F13" i="8" s="1"/>
  <c r="E10" i="8"/>
  <c r="E16" i="8" s="1"/>
  <c r="D10" i="8"/>
  <c r="D16" i="8" s="1"/>
  <c r="C10" i="8"/>
  <c r="C16" i="8" s="1"/>
  <c r="B10" i="8"/>
  <c r="F9" i="8"/>
  <c r="E9" i="8"/>
  <c r="D9" i="8"/>
  <c r="C9" i="8"/>
  <c r="B9" i="8"/>
  <c r="B11" i="8" s="1"/>
  <c r="F9" i="4"/>
  <c r="E9" i="4"/>
  <c r="D9" i="4"/>
  <c r="C9" i="4"/>
  <c r="F8" i="4"/>
  <c r="E8" i="4"/>
  <c r="D8" i="4"/>
  <c r="C8" i="4"/>
  <c r="B8" i="4"/>
  <c r="F7" i="4"/>
  <c r="E7" i="4"/>
  <c r="D7" i="4"/>
  <c r="C7" i="4"/>
  <c r="B7" i="4"/>
  <c r="B9" i="4" s="1"/>
  <c r="B10" i="4" s="1"/>
  <c r="F19" i="3"/>
  <c r="F18" i="3"/>
  <c r="F17" i="3"/>
  <c r="F16" i="3"/>
  <c r="F5" i="3"/>
  <c r="F4" i="3"/>
  <c r="F3" i="3"/>
  <c r="F2" i="3"/>
  <c r="B14" i="10" l="1"/>
  <c r="B17" i="10"/>
  <c r="F15" i="7"/>
  <c r="F20" i="7"/>
  <c r="B16" i="10"/>
  <c r="D15" i="7"/>
  <c r="D17" i="7"/>
  <c r="D20" i="7"/>
  <c r="B14" i="8"/>
  <c r="B12" i="8"/>
  <c r="B17" i="8"/>
  <c r="B16" i="8"/>
  <c r="H16" i="8" s="1"/>
  <c r="E20" i="7"/>
  <c r="E13" i="10"/>
  <c r="F12" i="7"/>
  <c r="E14" i="8"/>
  <c r="D16" i="7"/>
  <c r="C14" i="8"/>
  <c r="F14" i="8"/>
  <c r="C12" i="8"/>
  <c r="E11" i="10"/>
  <c r="E16" i="10" s="1"/>
  <c r="B11" i="7"/>
  <c r="B14" i="7" s="1"/>
  <c r="E16" i="7"/>
  <c r="D12" i="8"/>
  <c r="B15" i="8"/>
  <c r="F17" i="8"/>
  <c r="E14" i="10"/>
  <c r="C17" i="10"/>
  <c r="C11" i="7"/>
  <c r="C12" i="7" s="1"/>
  <c r="F16" i="7"/>
  <c r="E12" i="8"/>
  <c r="C15" i="8"/>
  <c r="B12" i="10"/>
  <c r="F14" i="10"/>
  <c r="D17" i="10"/>
  <c r="C12" i="10"/>
  <c r="E17" i="10"/>
  <c r="D14" i="7"/>
  <c r="B17" i="7"/>
  <c r="D13" i="7"/>
  <c r="F16" i="10"/>
  <c r="D17" i="8"/>
  <c r="C14" i="10"/>
  <c r="F12" i="8"/>
  <c r="D15" i="8"/>
  <c r="E15" i="8"/>
  <c r="D12" i="10"/>
  <c r="B15" i="10"/>
  <c r="F17" i="10"/>
  <c r="E14" i="7"/>
  <c r="F13" i="7"/>
  <c r="B13" i="8"/>
  <c r="E12" i="10"/>
  <c r="B12" i="7"/>
  <c r="F14" i="7"/>
  <c r="C13" i="8"/>
  <c r="F12" i="10"/>
  <c r="D15" i="10"/>
  <c r="E17" i="7"/>
  <c r="F13" i="10"/>
  <c r="E13" i="7"/>
  <c r="D13" i="8"/>
  <c r="E15" i="10"/>
  <c r="D12" i="7"/>
  <c r="B15" i="7"/>
  <c r="F17" i="7"/>
  <c r="E13" i="8"/>
  <c r="B13" i="10"/>
  <c r="E12" i="7"/>
  <c r="C15" i="7"/>
  <c r="E15" i="7"/>
  <c r="H17" i="8" l="1"/>
  <c r="H12" i="8"/>
  <c r="H14" i="8"/>
  <c r="H15" i="10"/>
  <c r="H12" i="10"/>
  <c r="C17" i="7"/>
  <c r="H17" i="7" s="1"/>
  <c r="H16" i="10"/>
  <c r="C13" i="7"/>
  <c r="B20" i="7"/>
  <c r="C20" i="7"/>
  <c r="H17" i="10"/>
  <c r="C16" i="7"/>
  <c r="H15" i="7" s="1"/>
  <c r="H13" i="10"/>
  <c r="H15" i="8"/>
  <c r="H13" i="8"/>
  <c r="C14" i="7"/>
  <c r="B16" i="7"/>
  <c r="B13" i="7"/>
  <c r="H14" i="10"/>
  <c r="H13" i="7" l="1"/>
  <c r="H20" i="7"/>
  <c r="H16" i="7"/>
  <c r="H12" i="7"/>
  <c r="H14" i="7"/>
</calcChain>
</file>

<file path=xl/sharedStrings.xml><?xml version="1.0" encoding="utf-8"?>
<sst xmlns="http://schemas.openxmlformats.org/spreadsheetml/2006/main" count="268" uniqueCount="73">
  <si>
    <t>型号</t>
  </si>
  <si>
    <t>长mm</t>
  </si>
  <si>
    <t>宽mm</t>
  </si>
  <si>
    <t>高mm</t>
  </si>
  <si>
    <t>BAOJ310-</t>
  </si>
  <si>
    <t>XW-M1+</t>
  </si>
  <si>
    <t>GoF</t>
  </si>
  <si>
    <t>CrV</t>
  </si>
  <si>
    <t>BZ-08</t>
  </si>
  <si>
    <t>jeta</t>
  </si>
  <si>
    <t>POL-</t>
  </si>
  <si>
    <t>BW5+</t>
  </si>
  <si>
    <t>BDe6+</t>
  </si>
  <si>
    <t>RWi5</t>
  </si>
  <si>
    <t>Wuling-</t>
  </si>
  <si>
    <t>数据集分类</t>
  </si>
  <si>
    <t>训练</t>
  </si>
  <si>
    <t>测试</t>
  </si>
  <si>
    <t>标志</t>
  </si>
  <si>
    <t>长(mm)</t>
  </si>
  <si>
    <t>宽(mm)</t>
  </si>
  <si>
    <t>高(mm)</t>
  </si>
  <si>
    <t>d</t>
  </si>
  <si>
    <t>+</t>
  </si>
  <si>
    <t>XW-M1</t>
  </si>
  <si>
    <t>BDe6</t>
  </si>
  <si>
    <t>-</t>
  </si>
  <si>
    <t>POL</t>
  </si>
  <si>
    <t>BW5</t>
  </si>
  <si>
    <t>BAOJ310</t>
  </si>
  <si>
    <t>被预测</t>
  </si>
  <si>
    <t>车型</t>
  </si>
  <si>
    <t xml:space="preserve">  </t>
  </si>
  <si>
    <t>长</t>
  </si>
  <si>
    <t>宽</t>
  </si>
  <si>
    <t>高</t>
  </si>
  <si>
    <r>
      <rPr>
        <b/>
        <sz val="11"/>
        <color theme="1"/>
        <rFont val="宋体"/>
        <charset val="134"/>
      </rPr>
      <t>油耗</t>
    </r>
  </si>
  <si>
    <r>
      <rPr>
        <b/>
        <sz val="11"/>
        <color theme="1"/>
        <rFont val="宋体"/>
        <charset val="134"/>
      </rPr>
      <t>售价</t>
    </r>
  </si>
  <si>
    <r>
      <rPr>
        <b/>
        <sz val="11"/>
        <color theme="1"/>
        <rFont val="宋体"/>
        <charset val="134"/>
      </rPr>
      <t>数据集</t>
    </r>
  </si>
  <si>
    <t>(mm)</t>
  </si>
  <si>
    <t>(L/100km)</t>
  </si>
  <si>
    <t>(万元)</t>
  </si>
  <si>
    <r>
      <rPr>
        <b/>
        <sz val="11"/>
        <color theme="1"/>
        <rFont val="宋体"/>
        <charset val="134"/>
      </rPr>
      <t>分类</t>
    </r>
  </si>
  <si>
    <t>数据指标</t>
  </si>
  <si>
    <t>数据示例</t>
  </si>
  <si>
    <t>量级</t>
  </si>
  <si>
    <t>长宽高类型数据</t>
  </si>
  <si>
    <t>4560、1822、1645</t>
  </si>
  <si>
    <t>10的3次方</t>
  </si>
  <si>
    <t>售价</t>
  </si>
  <si>
    <t>5.6、14.5</t>
  </si>
  <si>
    <t>10的1、2次方</t>
  </si>
  <si>
    <t>平均油耗</t>
  </si>
  <si>
    <t>7.8、8.5、6.2</t>
  </si>
  <si>
    <t>10的1次方</t>
  </si>
  <si>
    <t>MAX</t>
  </si>
  <si>
    <t>MIN</t>
  </si>
  <si>
    <t>MAX-MIN</t>
  </si>
  <si>
    <t xml:space="preserve">          </t>
  </si>
  <si>
    <r>
      <rPr>
        <i/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(</t>
    </r>
    <r>
      <rPr>
        <sz val="11"/>
        <color theme="1"/>
        <rFont val="宋体"/>
        <charset val="134"/>
        <scheme val="minor"/>
      </rPr>
      <t>BDe6</t>
    </r>
    <r>
      <rPr>
        <sz val="11"/>
        <color theme="1"/>
        <rFont val="宋体"/>
        <charset val="134"/>
        <scheme val="minor"/>
      </rPr>
      <t>)</t>
    </r>
  </si>
  <si>
    <t>油耗</t>
  </si>
  <si>
    <r>
      <rPr>
        <i/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(BDe6)</t>
    </r>
  </si>
  <si>
    <t>数据集</t>
  </si>
  <si>
    <t>mm</t>
  </si>
  <si>
    <t>L/100km</t>
  </si>
  <si>
    <t>（万元）</t>
  </si>
  <si>
    <t>分类</t>
  </si>
  <si>
    <t>max</t>
  </si>
  <si>
    <t>min</t>
  </si>
  <si>
    <t>max-min</t>
  </si>
  <si>
    <t>d（BDe6）</t>
  </si>
  <si>
    <t>CRV</t>
  </si>
  <si>
    <t>归一化后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</si>
</sst>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_ "/>
    <numFmt numFmtId="179" formatCode="0.0000"/>
  </numFmts>
  <fonts count="1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FF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Times New Roman"/>
      <family val="1"/>
    </font>
    <font>
      <b/>
      <sz val="14"/>
      <color theme="1"/>
      <name val="黑体"/>
      <charset val="134"/>
    </font>
    <font>
      <sz val="16"/>
      <color theme="1"/>
      <name val="黑体"/>
      <charset val="134"/>
    </font>
    <font>
      <sz val="12"/>
      <color theme="1"/>
      <name val="黑体"/>
      <charset val="134"/>
    </font>
    <font>
      <b/>
      <sz val="14"/>
      <color rgb="FF0000CC"/>
      <name val="黑体"/>
      <charset val="134"/>
    </font>
    <font>
      <sz val="12"/>
      <color rgb="FF0000FF"/>
      <name val="黑体"/>
      <charset val="134"/>
    </font>
    <font>
      <sz val="11"/>
      <color rgb="FFFF0000"/>
      <name val="宋体"/>
      <charset val="134"/>
      <scheme val="minor"/>
    </font>
    <font>
      <sz val="10.5"/>
      <color theme="1"/>
      <name val="宋体"/>
      <charset val="134"/>
    </font>
    <font>
      <i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0" fillId="5" borderId="0" xfId="0" applyFill="1"/>
    <xf numFmtId="179" fontId="0" fillId="5" borderId="0" xfId="0" applyNumberFormat="1" applyFill="1"/>
    <xf numFmtId="179" fontId="0" fillId="4" borderId="0" xfId="0" applyNumberFormat="1" applyFill="1"/>
    <xf numFmtId="179" fontId="0" fillId="0" borderId="0" xfId="0" applyNumberFormat="1" applyFill="1"/>
    <xf numFmtId="0" fontId="0" fillId="6" borderId="0" xfId="0" applyFill="1"/>
    <xf numFmtId="0" fontId="0" fillId="6" borderId="0" xfId="0" applyFill="1" applyBorder="1" applyAlignment="1">
      <alignment horizontal="center"/>
    </xf>
    <xf numFmtId="178" fontId="0" fillId="6" borderId="0" xfId="0" applyNumberForma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179" fontId="0" fillId="7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79" fontId="0" fillId="0" borderId="1" xfId="0" applyNumberFormat="1" applyBorder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9" fontId="0" fillId="4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  <xf numFmtId="179" fontId="0" fillId="0" borderId="0" xfId="0" applyNumberFormat="1" applyFill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/>
    <xf numFmtId="178" fontId="0" fillId="0" borderId="0" xfId="0" applyNumberFormat="1" applyFill="1" applyAlignment="1">
      <alignment horizontal="center"/>
    </xf>
    <xf numFmtId="179" fontId="0" fillId="4" borderId="0" xfId="0" applyNumberForma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2" fontId="7" fillId="7" borderId="7" xfId="0" applyNumberFormat="1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2" fontId="7" fillId="8" borderId="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Border="1"/>
    <xf numFmtId="0" fontId="8" fillId="0" borderId="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2" fontId="7" fillId="2" borderId="7" xfId="0" applyNumberFormat="1" applyFont="1" applyFill="1" applyBorder="1" applyAlignment="1">
      <alignment horizontal="center" vertical="center"/>
    </xf>
    <xf numFmtId="0" fontId="10" fillId="0" borderId="0" xfId="0" applyFont="1"/>
    <xf numFmtId="0" fontId="7" fillId="2" borderId="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2" fontId="7" fillId="0" borderId="7" xfId="0" applyNumberFormat="1" applyFont="1" applyFill="1" applyBorder="1" applyAlignment="1">
      <alignment horizontal="center" vertical="center"/>
    </xf>
    <xf numFmtId="0" fontId="0" fillId="0" borderId="1" xfId="0" applyBorder="1"/>
    <xf numFmtId="0" fontId="1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75" zoomScaleNormal="175" workbookViewId="0">
      <selection activeCell="E3" sqref="E3"/>
    </sheetView>
  </sheetViews>
  <sheetFormatPr defaultColWidth="9" defaultRowHeight="14.4" x14ac:dyDescent="0.25"/>
  <sheetData>
    <row r="1" spans="1:4" ht="15" thickBot="1" x14ac:dyDescent="0.3">
      <c r="A1" s="80" t="s">
        <v>0</v>
      </c>
      <c r="B1" s="81" t="s">
        <v>1</v>
      </c>
      <c r="C1" s="81" t="s">
        <v>2</v>
      </c>
      <c r="D1" s="82" t="s">
        <v>3</v>
      </c>
    </row>
    <row r="2" spans="1:4" x14ac:dyDescent="0.25">
      <c r="A2" s="83" t="s">
        <v>4</v>
      </c>
      <c r="B2" s="84">
        <v>4032</v>
      </c>
      <c r="C2" s="84">
        <v>1680</v>
      </c>
      <c r="D2" s="85">
        <v>1450</v>
      </c>
    </row>
    <row r="3" spans="1:4" x14ac:dyDescent="0.25">
      <c r="A3" s="86" t="s">
        <v>5</v>
      </c>
      <c r="B3" s="16">
        <v>4330</v>
      </c>
      <c r="C3" s="16">
        <v>1535</v>
      </c>
      <c r="D3" s="87">
        <v>1885</v>
      </c>
    </row>
    <row r="4" spans="1:4" x14ac:dyDescent="0.25">
      <c r="A4" s="86" t="s">
        <v>6</v>
      </c>
      <c r="B4" s="16">
        <v>4259</v>
      </c>
      <c r="C4" s="16">
        <v>1799</v>
      </c>
      <c r="D4" s="87">
        <v>1452</v>
      </c>
    </row>
    <row r="5" spans="1:4" x14ac:dyDescent="0.25">
      <c r="A5" s="86" t="s">
        <v>7</v>
      </c>
      <c r="B5" s="16">
        <v>4585</v>
      </c>
      <c r="C5" s="16">
        <v>1855</v>
      </c>
      <c r="D5" s="87">
        <v>1679</v>
      </c>
    </row>
    <row r="6" spans="1:4" x14ac:dyDescent="0.25">
      <c r="A6" s="86" t="s">
        <v>8</v>
      </c>
      <c r="B6" s="16">
        <v>4590</v>
      </c>
      <c r="C6" s="16">
        <v>1820</v>
      </c>
      <c r="D6" s="87">
        <v>1488</v>
      </c>
    </row>
    <row r="7" spans="1:4" x14ac:dyDescent="0.25">
      <c r="A7" s="86" t="s">
        <v>9</v>
      </c>
      <c r="B7" s="16">
        <v>4501</v>
      </c>
      <c r="C7" s="16">
        <v>1704</v>
      </c>
      <c r="D7" s="87">
        <v>1469</v>
      </c>
    </row>
    <row r="8" spans="1:4" x14ac:dyDescent="0.25">
      <c r="A8" s="86" t="s">
        <v>10</v>
      </c>
      <c r="B8" s="16">
        <v>4053</v>
      </c>
      <c r="C8" s="16">
        <v>1740</v>
      </c>
      <c r="D8" s="87">
        <v>1449</v>
      </c>
    </row>
    <row r="9" spans="1:4" x14ac:dyDescent="0.25">
      <c r="A9" s="86" t="s">
        <v>11</v>
      </c>
      <c r="B9" s="16">
        <v>5087</v>
      </c>
      <c r="C9" s="16">
        <v>1868</v>
      </c>
      <c r="D9" s="87">
        <v>1500</v>
      </c>
    </row>
    <row r="10" spans="1:4" x14ac:dyDescent="0.25">
      <c r="A10" s="86" t="s">
        <v>12</v>
      </c>
      <c r="B10" s="16">
        <v>4560</v>
      </c>
      <c r="C10" s="16">
        <v>1822</v>
      </c>
      <c r="D10" s="87">
        <v>1645</v>
      </c>
    </row>
    <row r="11" spans="1:4" x14ac:dyDescent="0.25">
      <c r="A11" s="86" t="s">
        <v>13</v>
      </c>
      <c r="B11" s="16">
        <v>4601</v>
      </c>
      <c r="C11" s="16">
        <v>1818</v>
      </c>
      <c r="D11" s="87">
        <v>1489</v>
      </c>
    </row>
    <row r="12" spans="1:4" ht="15" thickBot="1" x14ac:dyDescent="0.3">
      <c r="A12" s="88" t="s">
        <v>14</v>
      </c>
      <c r="B12" s="89">
        <v>3797</v>
      </c>
      <c r="C12" s="89">
        <v>1510</v>
      </c>
      <c r="D12" s="90">
        <v>1820</v>
      </c>
    </row>
  </sheetData>
  <phoneticPr fontId="1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H6" sqref="H6"/>
    </sheetView>
  </sheetViews>
  <sheetFormatPr defaultColWidth="9" defaultRowHeight="14.4" x14ac:dyDescent="0.25"/>
  <cols>
    <col min="5" max="5" width="14.109375" customWidth="1"/>
  </cols>
  <sheetData>
    <row r="1" spans="1:5" x14ac:dyDescent="0.25">
      <c r="A1" s="77" t="s">
        <v>0</v>
      </c>
      <c r="B1" s="77" t="s">
        <v>1</v>
      </c>
      <c r="C1" s="77" t="s">
        <v>2</v>
      </c>
      <c r="D1" s="77" t="s">
        <v>3</v>
      </c>
      <c r="E1" s="78" t="s">
        <v>15</v>
      </c>
    </row>
    <row r="2" spans="1:5" x14ac:dyDescent="0.25">
      <c r="A2" s="77" t="s">
        <v>4</v>
      </c>
      <c r="B2" s="77">
        <v>4032</v>
      </c>
      <c r="C2" s="77">
        <v>1680</v>
      </c>
      <c r="D2" s="77">
        <v>1450</v>
      </c>
      <c r="E2" s="78" t="s">
        <v>16</v>
      </c>
    </row>
    <row r="3" spans="1:5" x14ac:dyDescent="0.25">
      <c r="A3" s="77" t="s">
        <v>5</v>
      </c>
      <c r="B3" s="77">
        <v>4330</v>
      </c>
      <c r="C3" s="77">
        <v>1535</v>
      </c>
      <c r="D3" s="77">
        <v>1885</v>
      </c>
      <c r="E3" s="78" t="s">
        <v>16</v>
      </c>
    </row>
    <row r="4" spans="1:5" x14ac:dyDescent="0.25">
      <c r="A4" s="77" t="s">
        <v>10</v>
      </c>
      <c r="B4" s="77">
        <v>4053</v>
      </c>
      <c r="C4" s="77">
        <v>1740</v>
      </c>
      <c r="D4" s="77">
        <v>1449</v>
      </c>
      <c r="E4" s="78" t="s">
        <v>16</v>
      </c>
    </row>
    <row r="5" spans="1:5" x14ac:dyDescent="0.25">
      <c r="A5" s="77" t="s">
        <v>11</v>
      </c>
      <c r="B5" s="77">
        <v>5087</v>
      </c>
      <c r="C5" s="77">
        <v>1868</v>
      </c>
      <c r="D5" s="77">
        <v>1500</v>
      </c>
      <c r="E5" s="78" t="s">
        <v>16</v>
      </c>
    </row>
    <row r="6" spans="1:5" x14ac:dyDescent="0.25">
      <c r="A6" s="77" t="s">
        <v>12</v>
      </c>
      <c r="B6" s="77">
        <v>4560</v>
      </c>
      <c r="C6" s="77">
        <v>1822</v>
      </c>
      <c r="D6" s="77">
        <v>1645</v>
      </c>
      <c r="E6" s="78" t="s">
        <v>17</v>
      </c>
    </row>
    <row r="7" spans="1:5" x14ac:dyDescent="0.25">
      <c r="A7" s="77" t="s">
        <v>14</v>
      </c>
      <c r="B7" s="77">
        <v>3797</v>
      </c>
      <c r="C7" s="77">
        <v>1510</v>
      </c>
      <c r="D7" s="77">
        <v>1820</v>
      </c>
      <c r="E7" s="78" t="s">
        <v>17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topLeftCell="A14" workbookViewId="0">
      <selection activeCell="F2" sqref="A2:F5"/>
    </sheetView>
  </sheetViews>
  <sheetFormatPr defaultColWidth="9" defaultRowHeight="14.4" x14ac:dyDescent="0.25"/>
  <cols>
    <col min="1" max="1" width="9" customWidth="1"/>
    <col min="2" max="6" width="9.6640625" customWidth="1"/>
    <col min="8" max="8" width="9" customWidth="1"/>
  </cols>
  <sheetData>
    <row r="1" spans="1:11" ht="17.399999999999999" x14ac:dyDescent="0.25">
      <c r="A1" s="37" t="s">
        <v>18</v>
      </c>
      <c r="B1" s="37" t="s">
        <v>0</v>
      </c>
      <c r="C1" s="38" t="s">
        <v>19</v>
      </c>
      <c r="D1" s="38" t="s">
        <v>20</v>
      </c>
      <c r="E1" s="38" t="s">
        <v>21</v>
      </c>
      <c r="F1" s="37" t="s">
        <v>22</v>
      </c>
      <c r="K1" t="s">
        <v>0</v>
      </c>
    </row>
    <row r="2" spans="1:11" ht="20.399999999999999" x14ac:dyDescent="0.25">
      <c r="A2" s="39" t="s">
        <v>23</v>
      </c>
      <c r="B2" s="40" t="s">
        <v>24</v>
      </c>
      <c r="C2" s="41">
        <v>4330</v>
      </c>
      <c r="D2" s="42">
        <v>1535</v>
      </c>
      <c r="E2" s="43">
        <v>1885</v>
      </c>
      <c r="F2" s="44">
        <f>SQRT((C2-C7)*(C2-C7)+(D2-D7)*(D2-D7)+(E2-E7)*(E2-E7))</f>
        <v>439.16853257035621</v>
      </c>
      <c r="K2" s="72" t="s">
        <v>25</v>
      </c>
    </row>
    <row r="3" spans="1:11" ht="20.399999999999999" x14ac:dyDescent="0.25">
      <c r="A3" s="39" t="s">
        <v>26</v>
      </c>
      <c r="B3" s="40" t="s">
        <v>27</v>
      </c>
      <c r="C3" s="45">
        <v>4053</v>
      </c>
      <c r="D3" s="46">
        <v>1740</v>
      </c>
      <c r="E3" s="47">
        <v>1449</v>
      </c>
      <c r="F3" s="44">
        <f>SQRT((C3-C8)*(C3-C8)+(D3-D8)*(D3-D8)+(E3-E8)*(E3-E8))</f>
        <v>549.71720002197492</v>
      </c>
      <c r="K3" s="72" t="s">
        <v>7</v>
      </c>
    </row>
    <row r="4" spans="1:11" ht="20.399999999999999" x14ac:dyDescent="0.25">
      <c r="A4" s="39" t="s">
        <v>23</v>
      </c>
      <c r="B4" s="40" t="s">
        <v>28</v>
      </c>
      <c r="C4" s="45">
        <v>5087</v>
      </c>
      <c r="D4" s="46">
        <v>1868</v>
      </c>
      <c r="E4" s="47">
        <v>1500</v>
      </c>
      <c r="F4" s="44">
        <f>SQRT((C4-C9)*(C4-C9)+(D4-D9)*(D4-D9)+(E4-E9)*(E4-E9))</f>
        <v>548.51618025360017</v>
      </c>
      <c r="K4" s="72" t="s">
        <v>28</v>
      </c>
    </row>
    <row r="5" spans="1:11" ht="20.399999999999999" x14ac:dyDescent="0.25">
      <c r="A5" s="48" t="s">
        <v>26</v>
      </c>
      <c r="B5" s="49" t="s">
        <v>29</v>
      </c>
      <c r="C5" s="50">
        <v>4032</v>
      </c>
      <c r="D5" s="51">
        <v>1680</v>
      </c>
      <c r="E5" s="52">
        <v>1450</v>
      </c>
      <c r="F5" s="53">
        <f>SQRT((C5-C10)*(C5-C10)+(D5-D10)*(D5-D10)+(E5-E10)*(E5-E10))</f>
        <v>580.49375534970227</v>
      </c>
      <c r="K5" s="72" t="s">
        <v>27</v>
      </c>
    </row>
    <row r="6" spans="1:11" ht="15.6" x14ac:dyDescent="0.25">
      <c r="B6" s="54"/>
      <c r="C6" s="54"/>
      <c r="D6" s="54"/>
      <c r="E6" s="54"/>
      <c r="F6" s="54"/>
    </row>
    <row r="7" spans="1:11" ht="17.399999999999999" x14ac:dyDescent="0.25">
      <c r="A7" s="55"/>
      <c r="B7" s="56" t="s">
        <v>30</v>
      </c>
      <c r="C7" s="57">
        <v>4560</v>
      </c>
      <c r="D7" s="58">
        <v>1822</v>
      </c>
      <c r="E7" s="59">
        <v>1645</v>
      </c>
      <c r="F7" s="54"/>
    </row>
    <row r="8" spans="1:11" ht="17.399999999999999" x14ac:dyDescent="0.25">
      <c r="A8" s="55"/>
      <c r="B8" s="56" t="s">
        <v>31</v>
      </c>
      <c r="C8" s="60">
        <v>4560</v>
      </c>
      <c r="D8" s="61">
        <v>1822</v>
      </c>
      <c r="E8" s="62">
        <v>1645</v>
      </c>
      <c r="F8" s="54"/>
    </row>
    <row r="9" spans="1:11" ht="17.399999999999999" x14ac:dyDescent="0.25">
      <c r="A9" s="55"/>
      <c r="B9" s="63"/>
      <c r="C9" s="60">
        <v>4560</v>
      </c>
      <c r="D9" s="61">
        <v>1822</v>
      </c>
      <c r="E9" s="62">
        <v>1645</v>
      </c>
      <c r="F9" s="54"/>
      <c r="G9" s="64"/>
    </row>
    <row r="10" spans="1:11" ht="15.6" x14ac:dyDescent="0.25">
      <c r="A10" s="55"/>
      <c r="B10" s="63"/>
      <c r="C10" s="50">
        <v>4560</v>
      </c>
      <c r="D10" s="51">
        <v>1822</v>
      </c>
      <c r="E10" s="52">
        <v>1645</v>
      </c>
      <c r="F10" s="54"/>
    </row>
    <row r="11" spans="1:11" ht="15.6" x14ac:dyDescent="0.25">
      <c r="A11" s="55"/>
      <c r="B11" s="63"/>
      <c r="C11" s="65"/>
      <c r="D11" s="65"/>
      <c r="E11" s="65"/>
      <c r="F11" s="54"/>
    </row>
    <row r="12" spans="1:11" ht="15.6" x14ac:dyDescent="0.25">
      <c r="A12" s="55"/>
      <c r="B12" s="63"/>
      <c r="C12" s="65"/>
      <c r="D12" s="65"/>
      <c r="E12" s="65"/>
      <c r="F12" s="54"/>
    </row>
    <row r="13" spans="1:11" x14ac:dyDescent="0.25">
      <c r="A13" s="55"/>
      <c r="B13" s="55"/>
    </row>
    <row r="14" spans="1:11" x14ac:dyDescent="0.25">
      <c r="D14" t="s">
        <v>32</v>
      </c>
    </row>
    <row r="15" spans="1:11" ht="21" customHeight="1" x14ac:dyDescent="0.25">
      <c r="A15" s="37" t="s">
        <v>18</v>
      </c>
      <c r="B15" s="37" t="s">
        <v>0</v>
      </c>
      <c r="C15" s="38" t="s">
        <v>19</v>
      </c>
      <c r="D15" s="38" t="s">
        <v>20</v>
      </c>
      <c r="E15" s="38" t="s">
        <v>21</v>
      </c>
      <c r="F15" s="37" t="s">
        <v>22</v>
      </c>
      <c r="H15" t="s">
        <v>0</v>
      </c>
    </row>
    <row r="16" spans="1:11" ht="17.100000000000001" customHeight="1" x14ac:dyDescent="0.25">
      <c r="A16" s="66" t="s">
        <v>23</v>
      </c>
      <c r="B16" s="67" t="s">
        <v>24</v>
      </c>
      <c r="C16" s="68">
        <v>4330</v>
      </c>
      <c r="D16" s="69">
        <v>1535</v>
      </c>
      <c r="E16" s="70">
        <v>1885</v>
      </c>
      <c r="F16" s="71">
        <f>SQRT((C16-C21)*(C16-C21)+(D16-D21)*(D16-D21)+(E16-E21)*(E16-E21))</f>
        <v>439.16853257035621</v>
      </c>
      <c r="H16" s="72" t="s">
        <v>25</v>
      </c>
    </row>
    <row r="17" spans="1:8" ht="17.100000000000001" customHeight="1" x14ac:dyDescent="0.25">
      <c r="A17" s="66" t="s">
        <v>26</v>
      </c>
      <c r="B17" s="67" t="s">
        <v>27</v>
      </c>
      <c r="C17" s="73">
        <v>4053</v>
      </c>
      <c r="D17" s="74">
        <v>1740</v>
      </c>
      <c r="E17" s="75">
        <v>1449</v>
      </c>
      <c r="F17" s="71">
        <f t="shared" ref="F17:F19" si="0">SQRT((C17-C22)*(C17-C22)+(D17-D22)*(D17-D22)+(E17-E22)*(E17-E22))</f>
        <v>549.71720002197492</v>
      </c>
      <c r="H17" s="72" t="s">
        <v>7</v>
      </c>
    </row>
    <row r="18" spans="1:8" ht="17.100000000000001" customHeight="1" x14ac:dyDescent="0.25">
      <c r="A18" s="66" t="s">
        <v>23</v>
      </c>
      <c r="B18" s="67" t="s">
        <v>28</v>
      </c>
      <c r="C18" s="73">
        <v>5087</v>
      </c>
      <c r="D18" s="74">
        <v>1868</v>
      </c>
      <c r="E18" s="75">
        <v>1500</v>
      </c>
      <c r="F18" s="71">
        <f t="shared" si="0"/>
        <v>548.51618025360017</v>
      </c>
      <c r="H18" s="72" t="s">
        <v>28</v>
      </c>
    </row>
    <row r="19" spans="1:8" ht="17.100000000000001" customHeight="1" x14ac:dyDescent="0.25">
      <c r="A19" s="48" t="s">
        <v>26</v>
      </c>
      <c r="B19" s="49" t="s">
        <v>29</v>
      </c>
      <c r="C19" s="50">
        <v>4032</v>
      </c>
      <c r="D19" s="51">
        <v>1680</v>
      </c>
      <c r="E19" s="52">
        <v>1450</v>
      </c>
      <c r="F19" s="76">
        <f t="shared" si="0"/>
        <v>580.49375534970227</v>
      </c>
      <c r="H19" s="72" t="s">
        <v>27</v>
      </c>
    </row>
    <row r="20" spans="1:8" ht="17.100000000000001" customHeight="1" x14ac:dyDescent="0.25">
      <c r="B20" s="54"/>
      <c r="C20" s="54"/>
      <c r="D20" s="54"/>
      <c r="E20" s="54"/>
      <c r="F20" s="54"/>
    </row>
    <row r="21" spans="1:8" ht="17.100000000000001" customHeight="1" x14ac:dyDescent="0.25">
      <c r="B21" s="56" t="s">
        <v>30</v>
      </c>
      <c r="C21" s="57">
        <v>4560</v>
      </c>
      <c r="D21" s="58">
        <v>1822</v>
      </c>
      <c r="E21" s="59">
        <v>1645</v>
      </c>
      <c r="F21" s="54"/>
    </row>
    <row r="22" spans="1:8" ht="17.100000000000001" customHeight="1" x14ac:dyDescent="0.25">
      <c r="B22" s="56" t="s">
        <v>31</v>
      </c>
      <c r="C22" s="60">
        <v>4560</v>
      </c>
      <c r="D22" s="61">
        <v>1822</v>
      </c>
      <c r="E22" s="62">
        <v>1645</v>
      </c>
      <c r="F22" s="54"/>
    </row>
    <row r="23" spans="1:8" ht="17.100000000000001" customHeight="1" x14ac:dyDescent="0.25">
      <c r="B23" s="56"/>
      <c r="C23" s="60">
        <v>4560</v>
      </c>
      <c r="D23" s="61">
        <v>1822</v>
      </c>
      <c r="E23" s="62">
        <v>1645</v>
      </c>
      <c r="F23" s="54"/>
    </row>
    <row r="24" spans="1:8" ht="17.100000000000001" customHeight="1" x14ac:dyDescent="0.25">
      <c r="B24" s="56"/>
      <c r="C24" s="50">
        <v>4560</v>
      </c>
      <c r="D24" s="51">
        <v>1822</v>
      </c>
      <c r="E24" s="52">
        <v>1645</v>
      </c>
      <c r="F24" s="54"/>
    </row>
    <row r="26" spans="1:8" x14ac:dyDescent="0.25">
      <c r="D26" t="s">
        <v>32</v>
      </c>
    </row>
  </sheetData>
  <sortState xmlns:xlrd2="http://schemas.microsoft.com/office/spreadsheetml/2017/richdata2" ref="A2:F5">
    <sortCondition ref="F1:F5"/>
  </sortState>
  <phoneticPr fontId="1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6"/>
  <sheetViews>
    <sheetView workbookViewId="0">
      <selection activeCell="I6" sqref="I6"/>
    </sheetView>
  </sheetViews>
  <sheetFormatPr defaultColWidth="9" defaultRowHeight="14.4" x14ac:dyDescent="0.25"/>
  <cols>
    <col min="1" max="1" width="13.21875" customWidth="1"/>
    <col min="2" max="2" width="11.88671875" customWidth="1"/>
    <col min="3" max="3" width="12.21875" customWidth="1"/>
    <col min="4" max="4" width="11.6640625" customWidth="1"/>
    <col min="5" max="5" width="10.21875" customWidth="1"/>
    <col min="6" max="6" width="10.77734375" customWidth="1"/>
    <col min="7" max="7" width="8.109375" customWidth="1"/>
    <col min="8" max="8" width="9.21875" customWidth="1"/>
    <col min="11" max="11" width="7.109375" customWidth="1"/>
    <col min="12" max="12" width="9" hidden="1" customWidth="1"/>
    <col min="13" max="13" width="15.44140625" customWidth="1"/>
    <col min="14" max="14" width="17.77734375" customWidth="1"/>
    <col min="15" max="15" width="13.33203125" customWidth="1"/>
  </cols>
  <sheetData>
    <row r="1" spans="1:15" ht="16.05" customHeight="1" x14ac:dyDescent="0.25">
      <c r="A1" s="79" t="s">
        <v>0</v>
      </c>
      <c r="B1" s="19" t="s">
        <v>33</v>
      </c>
      <c r="C1" s="19" t="s">
        <v>34</v>
      </c>
      <c r="D1" s="19" t="s">
        <v>35</v>
      </c>
      <c r="E1" s="20" t="s">
        <v>36</v>
      </c>
      <c r="F1" s="20" t="s">
        <v>37</v>
      </c>
      <c r="G1" s="20" t="s">
        <v>38</v>
      </c>
    </row>
    <row r="2" spans="1:15" ht="16.05" customHeight="1" x14ac:dyDescent="0.25">
      <c r="A2" s="79"/>
      <c r="B2" s="20" t="s">
        <v>39</v>
      </c>
      <c r="C2" s="20" t="s">
        <v>39</v>
      </c>
      <c r="D2" s="20" t="s">
        <v>39</v>
      </c>
      <c r="E2" s="20" t="s">
        <v>40</v>
      </c>
      <c r="F2" s="19" t="s">
        <v>41</v>
      </c>
      <c r="G2" s="20" t="s">
        <v>42</v>
      </c>
    </row>
    <row r="3" spans="1:15" ht="16.05" customHeight="1" x14ac:dyDescent="0.25">
      <c r="A3" s="21" t="s">
        <v>4</v>
      </c>
      <c r="B3" s="21">
        <v>4032</v>
      </c>
      <c r="C3" s="21">
        <v>1680</v>
      </c>
      <c r="D3" s="21">
        <v>1450</v>
      </c>
      <c r="E3" s="21">
        <v>5.3</v>
      </c>
      <c r="F3" s="21">
        <v>5.6</v>
      </c>
      <c r="G3" s="21" t="s">
        <v>16</v>
      </c>
      <c r="M3" t="s">
        <v>43</v>
      </c>
      <c r="N3" t="s">
        <v>44</v>
      </c>
      <c r="O3" t="s">
        <v>45</v>
      </c>
    </row>
    <row r="4" spans="1:15" ht="16.05" customHeight="1" x14ac:dyDescent="0.25">
      <c r="A4" s="21" t="s">
        <v>5</v>
      </c>
      <c r="B4" s="21">
        <v>4330</v>
      </c>
      <c r="C4" s="21">
        <v>1535</v>
      </c>
      <c r="D4" s="21">
        <v>1885</v>
      </c>
      <c r="E4" s="21">
        <v>7.8</v>
      </c>
      <c r="F4" s="21">
        <v>14.5</v>
      </c>
      <c r="G4" s="21" t="s">
        <v>16</v>
      </c>
      <c r="M4" t="s">
        <v>46</v>
      </c>
      <c r="N4" t="s">
        <v>47</v>
      </c>
      <c r="O4" t="s">
        <v>48</v>
      </c>
    </row>
    <row r="5" spans="1:15" s="18" customFormat="1" ht="16.05" customHeight="1" x14ac:dyDescent="0.25">
      <c r="A5" s="21" t="s">
        <v>10</v>
      </c>
      <c r="B5" s="21">
        <v>4053</v>
      </c>
      <c r="C5" s="21">
        <v>1740</v>
      </c>
      <c r="D5" s="21">
        <v>1449</v>
      </c>
      <c r="E5" s="21">
        <v>6.2</v>
      </c>
      <c r="F5" s="21">
        <v>10.8</v>
      </c>
      <c r="G5" s="21" t="s">
        <v>16</v>
      </c>
      <c r="M5" s="18" t="s">
        <v>49</v>
      </c>
      <c r="N5" s="18" t="s">
        <v>50</v>
      </c>
      <c r="O5" s="18" t="s">
        <v>51</v>
      </c>
    </row>
    <row r="6" spans="1:15" s="18" customFormat="1" ht="16.05" customHeight="1" x14ac:dyDescent="0.25">
      <c r="A6" s="21" t="s">
        <v>11</v>
      </c>
      <c r="B6" s="21">
        <v>5087</v>
      </c>
      <c r="C6" s="21">
        <v>1868</v>
      </c>
      <c r="D6" s="21">
        <v>1500</v>
      </c>
      <c r="E6" s="21">
        <v>8.5</v>
      </c>
      <c r="F6" s="21">
        <v>25.6</v>
      </c>
      <c r="G6" s="21" t="s">
        <v>16</v>
      </c>
      <c r="M6" s="18" t="s">
        <v>52</v>
      </c>
      <c r="N6" s="18" t="s">
        <v>53</v>
      </c>
      <c r="O6" s="18" t="s">
        <v>54</v>
      </c>
    </row>
    <row r="7" spans="1:15" s="18" customFormat="1" ht="16.05" customHeight="1" x14ac:dyDescent="0.25">
      <c r="A7" s="35" t="s">
        <v>55</v>
      </c>
      <c r="B7" s="36">
        <f>MAX(B3:B6)</f>
        <v>5087</v>
      </c>
      <c r="C7" s="36">
        <f>MAX(C3:C6)</f>
        <v>1868</v>
      </c>
      <c r="D7" s="36">
        <f>MAX(D3:D6)</f>
        <v>1885</v>
      </c>
      <c r="E7" s="36">
        <f>MAX(E3:E6)</f>
        <v>8.5</v>
      </c>
      <c r="F7" s="36">
        <f>MAX(F3:F6)</f>
        <v>25.6</v>
      </c>
      <c r="G7" s="29"/>
    </row>
    <row r="8" spans="1:15" s="18" customFormat="1" ht="16.05" customHeight="1" x14ac:dyDescent="0.25">
      <c r="A8" s="35" t="s">
        <v>56</v>
      </c>
      <c r="B8" s="36">
        <f>MIN(B3:B6)</f>
        <v>4032</v>
      </c>
      <c r="C8" s="36">
        <f>MIN(C3:C6)</f>
        <v>1535</v>
      </c>
      <c r="D8" s="36">
        <f>MIN(D3:D6)</f>
        <v>1449</v>
      </c>
      <c r="E8" s="36">
        <f>MIN(E3:E6)</f>
        <v>5.3</v>
      </c>
      <c r="F8" s="36">
        <f>MIN(F3:F6)</f>
        <v>5.6</v>
      </c>
      <c r="G8" s="29"/>
    </row>
    <row r="9" spans="1:15" s="18" customFormat="1" ht="16.05" customHeight="1" x14ac:dyDescent="0.25">
      <c r="A9" s="35" t="s">
        <v>57</v>
      </c>
      <c r="B9" s="36">
        <f>B7-B8</f>
        <v>1055</v>
      </c>
      <c r="C9" s="36">
        <f t="shared" ref="C9:F9" si="0">C7-C8</f>
        <v>333</v>
      </c>
      <c r="D9" s="36">
        <f t="shared" si="0"/>
        <v>436</v>
      </c>
      <c r="E9" s="36">
        <f t="shared" si="0"/>
        <v>3.2</v>
      </c>
      <c r="F9" s="36">
        <f t="shared" si="0"/>
        <v>20</v>
      </c>
      <c r="G9" s="29"/>
    </row>
    <row r="10" spans="1:15" s="18" customFormat="1" ht="16.05" customHeight="1" x14ac:dyDescent="0.25">
      <c r="A10" s="31" t="s">
        <v>4</v>
      </c>
      <c r="B10" s="36">
        <f>(B3-B8)/B9</f>
        <v>0</v>
      </c>
      <c r="C10" s="36"/>
      <c r="D10" s="36"/>
      <c r="E10" s="36"/>
      <c r="F10" s="36"/>
      <c r="G10" s="29"/>
    </row>
    <row r="11" spans="1:15" s="18" customFormat="1" ht="16.05" customHeight="1" x14ac:dyDescent="0.25">
      <c r="A11" s="31"/>
      <c r="B11" s="36"/>
      <c r="C11" s="36"/>
      <c r="D11" s="36"/>
      <c r="E11" s="36"/>
      <c r="F11" s="36"/>
      <c r="G11" s="29"/>
    </row>
    <row r="12" spans="1:15" s="18" customFormat="1" ht="16.05" customHeight="1" x14ac:dyDescent="0.25">
      <c r="A12" s="31"/>
      <c r="B12" s="36"/>
      <c r="C12" s="36"/>
      <c r="D12" s="36"/>
      <c r="E12" s="35" t="s">
        <v>58</v>
      </c>
      <c r="F12" s="36"/>
      <c r="G12" s="29"/>
    </row>
    <row r="13" spans="1:15" s="18" customFormat="1" ht="16.05" customHeight="1" x14ac:dyDescent="0.25">
      <c r="A13" s="31"/>
      <c r="B13" s="36"/>
      <c r="C13" s="36"/>
      <c r="D13" s="36"/>
      <c r="E13" s="36"/>
      <c r="F13" s="36"/>
      <c r="G13" s="29"/>
    </row>
    <row r="14" spans="1:15" x14ac:dyDescent="0.25">
      <c r="A14" s="29"/>
      <c r="B14" s="31"/>
      <c r="C14" s="31"/>
      <c r="D14" s="31"/>
      <c r="E14" s="31"/>
      <c r="F14" s="31"/>
      <c r="G14" s="29"/>
      <c r="H14" s="30"/>
      <c r="I14" s="29"/>
    </row>
    <row r="15" spans="1:15" x14ac:dyDescent="0.25">
      <c r="A15" s="32"/>
      <c r="B15" s="33"/>
      <c r="C15" s="33"/>
      <c r="D15" s="33"/>
      <c r="E15" s="33"/>
      <c r="F15" s="33"/>
      <c r="G15" s="32"/>
      <c r="H15" s="9"/>
      <c r="I15" s="32"/>
    </row>
    <row r="16" spans="1:15" x14ac:dyDescent="0.25">
      <c r="A16" s="32"/>
      <c r="B16" s="32"/>
      <c r="C16" s="32"/>
      <c r="D16" s="32"/>
      <c r="E16" s="32"/>
      <c r="F16" s="32"/>
      <c r="G16" s="32"/>
      <c r="H16" s="32"/>
      <c r="I16" s="32"/>
    </row>
  </sheetData>
  <mergeCells count="1">
    <mergeCell ref="A1:A2"/>
  </mergeCells>
  <phoneticPr fontId="1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"/>
  <sheetViews>
    <sheetView zoomScale="130" zoomScaleNormal="130" workbookViewId="0">
      <selection activeCell="G21" sqref="G21"/>
    </sheetView>
  </sheetViews>
  <sheetFormatPr defaultColWidth="9" defaultRowHeight="14.4" x14ac:dyDescent="0.25"/>
  <cols>
    <col min="1" max="1" width="13.21875" customWidth="1"/>
    <col min="2" max="2" width="13.88671875" customWidth="1"/>
    <col min="3" max="3" width="12.21875" customWidth="1"/>
    <col min="4" max="4" width="11.6640625" customWidth="1"/>
    <col min="5" max="5" width="10.21875" customWidth="1"/>
    <col min="6" max="6" width="10.77734375" customWidth="1"/>
    <col min="7" max="7" width="8.109375" customWidth="1"/>
    <col min="8" max="8" width="9.21875" customWidth="1"/>
    <col min="11" max="11" width="7.109375" customWidth="1"/>
    <col min="12" max="12" width="9" hidden="1" customWidth="1"/>
    <col min="13" max="13" width="15.44140625" customWidth="1"/>
    <col min="14" max="14" width="17.77734375" customWidth="1"/>
    <col min="15" max="15" width="13.33203125" customWidth="1"/>
  </cols>
  <sheetData>
    <row r="1" spans="1:15" ht="16.05" customHeight="1" x14ac:dyDescent="0.25">
      <c r="A1" s="79" t="s">
        <v>0</v>
      </c>
      <c r="B1" s="19" t="s">
        <v>33</v>
      </c>
      <c r="C1" s="19" t="s">
        <v>34</v>
      </c>
      <c r="D1" s="19" t="s">
        <v>35</v>
      </c>
      <c r="E1" s="20" t="s">
        <v>36</v>
      </c>
      <c r="F1" s="20" t="s">
        <v>37</v>
      </c>
      <c r="G1" s="20" t="s">
        <v>38</v>
      </c>
    </row>
    <row r="2" spans="1:15" ht="16.05" customHeight="1" x14ac:dyDescent="0.25">
      <c r="A2" s="79"/>
      <c r="B2" s="20" t="s">
        <v>39</v>
      </c>
      <c r="C2" s="20" t="s">
        <v>39</v>
      </c>
      <c r="D2" s="20" t="s">
        <v>39</v>
      </c>
      <c r="E2" s="20" t="s">
        <v>40</v>
      </c>
      <c r="F2" s="19" t="s">
        <v>41</v>
      </c>
      <c r="G2" s="20" t="s">
        <v>42</v>
      </c>
    </row>
    <row r="3" spans="1:15" ht="16.05" customHeight="1" x14ac:dyDescent="0.25">
      <c r="A3" s="21" t="s">
        <v>4</v>
      </c>
      <c r="B3" s="21">
        <v>4032</v>
      </c>
      <c r="C3" s="21">
        <v>1680</v>
      </c>
      <c r="D3" s="21">
        <v>1450</v>
      </c>
      <c r="E3" s="21">
        <v>5.3</v>
      </c>
      <c r="F3" s="21">
        <v>5.6</v>
      </c>
      <c r="G3" s="21" t="s">
        <v>16</v>
      </c>
      <c r="M3" t="s">
        <v>43</v>
      </c>
      <c r="N3" t="s">
        <v>44</v>
      </c>
      <c r="O3" t="s">
        <v>45</v>
      </c>
    </row>
    <row r="4" spans="1:15" ht="16.05" customHeight="1" x14ac:dyDescent="0.25">
      <c r="A4" s="21" t="s">
        <v>5</v>
      </c>
      <c r="B4" s="21">
        <v>4330</v>
      </c>
      <c r="C4" s="21">
        <v>1535</v>
      </c>
      <c r="D4" s="21">
        <v>1885</v>
      </c>
      <c r="E4" s="21">
        <v>7.8</v>
      </c>
      <c r="F4" s="21">
        <v>14.5</v>
      </c>
      <c r="G4" s="21" t="s">
        <v>16</v>
      </c>
      <c r="M4" t="s">
        <v>46</v>
      </c>
      <c r="N4" t="s">
        <v>47</v>
      </c>
      <c r="O4" t="s">
        <v>48</v>
      </c>
    </row>
    <row r="5" spans="1:15" s="18" customFormat="1" ht="16.05" customHeight="1" x14ac:dyDescent="0.25">
      <c r="A5" s="21" t="s">
        <v>10</v>
      </c>
      <c r="B5" s="21">
        <v>4053</v>
      </c>
      <c r="C5" s="21">
        <v>1740</v>
      </c>
      <c r="D5" s="21">
        <v>1449</v>
      </c>
      <c r="E5" s="21">
        <v>6.2</v>
      </c>
      <c r="F5" s="21">
        <v>10.8</v>
      </c>
      <c r="G5" s="21" t="s">
        <v>16</v>
      </c>
      <c r="M5" s="18" t="s">
        <v>49</v>
      </c>
      <c r="N5" s="18" t="s">
        <v>50</v>
      </c>
      <c r="O5" s="18" t="s">
        <v>51</v>
      </c>
    </row>
    <row r="6" spans="1:15" s="18" customFormat="1" ht="16.05" customHeight="1" x14ac:dyDescent="0.25">
      <c r="A6" s="21" t="s">
        <v>11</v>
      </c>
      <c r="B6" s="21">
        <v>5087</v>
      </c>
      <c r="C6" s="21">
        <v>1868</v>
      </c>
      <c r="D6" s="21">
        <v>1500</v>
      </c>
      <c r="E6" s="21">
        <v>8.5</v>
      </c>
      <c r="F6" s="21">
        <v>25.6</v>
      </c>
      <c r="G6" s="21" t="s">
        <v>16</v>
      </c>
      <c r="M6" s="18" t="s">
        <v>52</v>
      </c>
      <c r="N6" s="18" t="s">
        <v>53</v>
      </c>
      <c r="O6" s="18" t="s">
        <v>54</v>
      </c>
    </row>
    <row r="7" spans="1:15" x14ac:dyDescent="0.25">
      <c r="A7" s="22" t="s">
        <v>12</v>
      </c>
      <c r="B7" s="22">
        <v>4560</v>
      </c>
      <c r="C7" s="22">
        <v>1822</v>
      </c>
      <c r="D7" s="22">
        <v>1645</v>
      </c>
      <c r="E7" s="22">
        <v>7.8</v>
      </c>
      <c r="F7" s="22">
        <v>15.8</v>
      </c>
      <c r="G7" s="22" t="s">
        <v>17</v>
      </c>
      <c r="H7" s="18"/>
      <c r="I7" s="18"/>
    </row>
    <row r="8" spans="1:15" x14ac:dyDescent="0.25">
      <c r="A8" s="22" t="s">
        <v>14</v>
      </c>
      <c r="B8" s="22">
        <v>3797</v>
      </c>
      <c r="C8" s="22">
        <v>1510</v>
      </c>
      <c r="D8" s="22">
        <v>1820</v>
      </c>
      <c r="E8" s="22">
        <v>5.5</v>
      </c>
      <c r="F8" s="22">
        <v>9.6</v>
      </c>
      <c r="G8" s="22" t="s">
        <v>17</v>
      </c>
      <c r="H8" s="18"/>
      <c r="I8" s="18"/>
    </row>
    <row r="9" spans="1:15" s="18" customFormat="1" ht="16.05" customHeight="1" x14ac:dyDescent="0.25">
      <c r="A9" s="23" t="s">
        <v>55</v>
      </c>
      <c r="B9" s="21">
        <f>MAX(B3:B6)</f>
        <v>5087</v>
      </c>
      <c r="C9" s="21">
        <f>MAX(C3:C6)</f>
        <v>1868</v>
      </c>
      <c r="D9" s="21">
        <f>MAX(D3:D6)</f>
        <v>1885</v>
      </c>
      <c r="E9" s="21">
        <f>MAX(E3:E6)</f>
        <v>8.5</v>
      </c>
      <c r="F9" s="21">
        <f>MAX(F3:F6)</f>
        <v>25.6</v>
      </c>
      <c r="G9" s="21"/>
    </row>
    <row r="10" spans="1:15" s="18" customFormat="1" ht="16.05" customHeight="1" x14ac:dyDescent="0.25">
      <c r="A10" s="23" t="s">
        <v>56</v>
      </c>
      <c r="B10" s="21">
        <f>MIN(B3:B8)</f>
        <v>3797</v>
      </c>
      <c r="C10" s="21">
        <f t="shared" ref="C10:F10" si="0">MIN(C3:C8)</f>
        <v>1510</v>
      </c>
      <c r="D10" s="21">
        <f t="shared" si="0"/>
        <v>1449</v>
      </c>
      <c r="E10" s="21">
        <f t="shared" si="0"/>
        <v>5.3</v>
      </c>
      <c r="F10" s="21">
        <f t="shared" si="0"/>
        <v>5.6</v>
      </c>
      <c r="G10" s="21"/>
    </row>
    <row r="11" spans="1:15" s="18" customFormat="1" ht="16.05" customHeight="1" x14ac:dyDescent="0.25">
      <c r="A11" s="23" t="s">
        <v>57</v>
      </c>
      <c r="B11" s="21">
        <f>B9-B10</f>
        <v>1290</v>
      </c>
      <c r="C11" s="21">
        <f t="shared" ref="C11:F11" si="1">C9-C10</f>
        <v>358</v>
      </c>
      <c r="D11" s="21">
        <f t="shared" si="1"/>
        <v>436</v>
      </c>
      <c r="E11" s="21">
        <f t="shared" si="1"/>
        <v>3.2</v>
      </c>
      <c r="F11" s="21">
        <f t="shared" si="1"/>
        <v>20</v>
      </c>
      <c r="G11" s="21"/>
      <c r="H11" s="24" t="s">
        <v>59</v>
      </c>
    </row>
    <row r="12" spans="1:15" x14ac:dyDescent="0.25">
      <c r="A12" s="25" t="s">
        <v>4</v>
      </c>
      <c r="B12" s="26">
        <f>(B3-B10)/B11</f>
        <v>0.18217054263565891</v>
      </c>
      <c r="C12" s="26">
        <f t="shared" ref="C12:F12" si="2">(C3-C10)/C11</f>
        <v>0.47486033519553073</v>
      </c>
      <c r="D12" s="26">
        <f t="shared" si="2"/>
        <v>2.2935779816513763E-3</v>
      </c>
      <c r="E12" s="26">
        <f t="shared" si="2"/>
        <v>0</v>
      </c>
      <c r="F12" s="26">
        <f t="shared" si="2"/>
        <v>0</v>
      </c>
      <c r="G12" s="27"/>
      <c r="H12" s="34">
        <f>SQRT((B12-B16)*(B12-B16)+(C12-C16)*(C12-C16)+(D12-D16)*(D12-D16)+(E12-E16)*(E12-E16)+(F12-F16)*(F12-F16))</f>
        <v>1.1812451644280566</v>
      </c>
      <c r="I12" s="18"/>
    </row>
    <row r="13" spans="1:15" x14ac:dyDescent="0.25">
      <c r="A13" s="25" t="s">
        <v>5</v>
      </c>
      <c r="B13" s="26">
        <f>(B4-B10)/B11</f>
        <v>0.41317829457364341</v>
      </c>
      <c r="C13" s="26">
        <f t="shared" ref="C13:F13" si="3">(C4-C10)/C11</f>
        <v>6.9832402234636867E-2</v>
      </c>
      <c r="D13" s="26">
        <f t="shared" si="3"/>
        <v>1</v>
      </c>
      <c r="E13" s="26">
        <f t="shared" si="3"/>
        <v>0.78125</v>
      </c>
      <c r="F13" s="26">
        <f t="shared" si="3"/>
        <v>0.44500000000000001</v>
      </c>
      <c r="G13" s="27"/>
      <c r="H13" s="34">
        <f>SQRT((B13-B16)*(B13-B16)+(C13-C16)*(C13-C16)+(D13-D16)*(D13-D16)+(E13-E16)*(E13-E16)+(F13-F16)*(F13-F16))</f>
        <v>0.99080932863672255</v>
      </c>
      <c r="I13" s="18"/>
    </row>
    <row r="14" spans="1:15" x14ac:dyDescent="0.25">
      <c r="A14" s="25" t="s">
        <v>10</v>
      </c>
      <c r="B14" s="26">
        <f>(B5-B10)/B11</f>
        <v>0.19844961240310077</v>
      </c>
      <c r="C14" s="26">
        <f t="shared" ref="C14:F14" si="4">(C5-C10)/C11</f>
        <v>0.64245810055865926</v>
      </c>
      <c r="D14" s="26">
        <f t="shared" si="4"/>
        <v>0</v>
      </c>
      <c r="E14" s="26">
        <f t="shared" si="4"/>
        <v>0.28125000000000011</v>
      </c>
      <c r="F14" s="26">
        <f t="shared" si="4"/>
        <v>0.26000000000000006</v>
      </c>
      <c r="G14" s="27"/>
      <c r="H14" s="34">
        <f>SQRT((B14-B16)*(B14-B16)+(C14-C16)*(C14-C16)+(D14-D16)*(D14-D16)+(E14-E16)*(E14-E16)+(F14-F16)*(F14-F16))</f>
        <v>0.84942255471283146</v>
      </c>
      <c r="I14" s="18"/>
    </row>
    <row r="15" spans="1:15" x14ac:dyDescent="0.25">
      <c r="A15" s="25" t="s">
        <v>11</v>
      </c>
      <c r="B15" s="26">
        <f>(B6-B10)/B11</f>
        <v>1</v>
      </c>
      <c r="C15" s="26">
        <f t="shared" ref="C15:F15" si="5">(C6-C10)/C11</f>
        <v>1</v>
      </c>
      <c r="D15" s="26">
        <f t="shared" si="5"/>
        <v>0.11697247706422019</v>
      </c>
      <c r="E15" s="26">
        <f t="shared" si="5"/>
        <v>1</v>
      </c>
      <c r="F15" s="26">
        <f t="shared" si="5"/>
        <v>1</v>
      </c>
      <c r="G15" s="27"/>
      <c r="H15" s="34">
        <f>SQRT((B15-B16)*(B15-B16)+(C15-C16)*(C15-C16)+(D15-D16)*(D15-D16)+(E15-E16)*(E15-E16)+(F15-F16)*(F15-F16))</f>
        <v>0.76286177513159081</v>
      </c>
      <c r="I15" s="18"/>
    </row>
    <row r="16" spans="1:15" x14ac:dyDescent="0.25">
      <c r="A16" s="25" t="s">
        <v>12</v>
      </c>
      <c r="B16" s="26">
        <f>(B7-B10)/B11</f>
        <v>0.59147286821705425</v>
      </c>
      <c r="C16" s="26">
        <f t="shared" ref="C16:F16" si="6">(C7-C10)/C11</f>
        <v>0.87150837988826813</v>
      </c>
      <c r="D16" s="26">
        <f t="shared" si="6"/>
        <v>0.44954128440366975</v>
      </c>
      <c r="E16" s="26">
        <f t="shared" si="6"/>
        <v>0.78125</v>
      </c>
      <c r="F16" s="26">
        <f t="shared" si="6"/>
        <v>0.51</v>
      </c>
      <c r="G16" s="27"/>
      <c r="H16" s="34">
        <f>SQRT((B16-B16)*(B16-B16)+(C16-C16)*(C16-C16)+(D16-D16)*(D16-D16)+(E16-E16)*(E16-E16)+(F16-F16)*(F16-F16))</f>
        <v>0</v>
      </c>
      <c r="I16" s="18"/>
    </row>
    <row r="17" spans="1:9" x14ac:dyDescent="0.25">
      <c r="A17" s="25" t="s">
        <v>14</v>
      </c>
      <c r="B17" s="26">
        <f>(B8-B10)/B11</f>
        <v>0</v>
      </c>
      <c r="C17" s="26">
        <f t="shared" ref="C17:F17" si="7">(C8-C10)/C11</f>
        <v>0</v>
      </c>
      <c r="D17" s="26">
        <f t="shared" si="7"/>
        <v>0.8509174311926605</v>
      </c>
      <c r="E17" s="26">
        <f t="shared" si="7"/>
        <v>6.2500000000000056E-2</v>
      </c>
      <c r="F17" s="26">
        <f t="shared" si="7"/>
        <v>0.2</v>
      </c>
      <c r="G17" s="27"/>
      <c r="H17" s="34">
        <f>SQRT((B17-B16)*(B17-B16)+(C17-C16)*(C17-C16)+(D17-D16)*(D17-D16)+(E17-E16)*(E17-E16)+(F17-F16)*(F17-F16))</f>
        <v>1.3722869174351113</v>
      </c>
      <c r="I17" s="18"/>
    </row>
    <row r="18" spans="1:9" x14ac:dyDescent="0.25">
      <c r="A18" s="29"/>
      <c r="B18" s="29"/>
      <c r="C18" s="29"/>
      <c r="D18" s="29"/>
      <c r="E18" s="29"/>
      <c r="F18" s="29"/>
      <c r="G18" s="29"/>
      <c r="H18" s="30"/>
      <c r="I18" s="29"/>
    </row>
    <row r="19" spans="1:9" x14ac:dyDescent="0.25">
      <c r="A19" s="29"/>
      <c r="B19" s="31"/>
      <c r="C19" s="31"/>
      <c r="D19" s="31"/>
      <c r="E19" s="31"/>
      <c r="F19" s="31"/>
      <c r="G19" s="29"/>
      <c r="H19" s="30"/>
      <c r="I19" s="29"/>
    </row>
    <row r="20" spans="1:9" x14ac:dyDescent="0.25">
      <c r="A20" s="32"/>
      <c r="B20" s="33"/>
      <c r="C20" s="33"/>
      <c r="D20" s="33"/>
      <c r="E20" s="33"/>
      <c r="F20" s="33"/>
      <c r="G20" s="32"/>
      <c r="H20" s="9"/>
      <c r="I20" s="32"/>
    </row>
    <row r="21" spans="1:9" x14ac:dyDescent="0.25">
      <c r="A21" s="32"/>
      <c r="B21" s="32"/>
      <c r="C21" s="32"/>
      <c r="D21" s="32"/>
      <c r="E21" s="32"/>
      <c r="F21" s="32"/>
      <c r="G21" s="32"/>
      <c r="H21" s="32"/>
      <c r="I21" s="32"/>
    </row>
  </sheetData>
  <mergeCells count="1">
    <mergeCell ref="A1:A2"/>
  </mergeCells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1"/>
  <sheetViews>
    <sheetView workbookViewId="0">
      <selection activeCell="C1" sqref="C1"/>
    </sheetView>
  </sheetViews>
  <sheetFormatPr defaultColWidth="9" defaultRowHeight="14.4" x14ac:dyDescent="0.25"/>
  <cols>
    <col min="1" max="1" width="13.21875" customWidth="1"/>
    <col min="2" max="2" width="13.88671875" customWidth="1"/>
    <col min="3" max="3" width="12.21875" customWidth="1"/>
    <col min="4" max="4" width="11.6640625" customWidth="1"/>
    <col min="5" max="5" width="10.21875" customWidth="1"/>
    <col min="6" max="6" width="10.77734375" customWidth="1"/>
    <col min="7" max="7" width="8.109375" customWidth="1"/>
    <col min="8" max="8" width="9.21875" customWidth="1"/>
    <col min="11" max="11" width="7.109375" customWidth="1"/>
    <col min="12" max="12" width="9" hidden="1" customWidth="1"/>
    <col min="13" max="13" width="15.44140625" customWidth="1"/>
    <col min="14" max="14" width="17.77734375" customWidth="1"/>
    <col min="15" max="15" width="13.33203125" customWidth="1"/>
  </cols>
  <sheetData>
    <row r="1" spans="1:15" ht="16.05" customHeight="1" x14ac:dyDescent="0.25">
      <c r="A1" s="79" t="s">
        <v>0</v>
      </c>
      <c r="B1" s="19" t="s">
        <v>33</v>
      </c>
      <c r="C1" s="19" t="s">
        <v>34</v>
      </c>
      <c r="D1" s="19" t="s">
        <v>35</v>
      </c>
      <c r="E1" s="20" t="s">
        <v>36</v>
      </c>
      <c r="F1" s="20" t="s">
        <v>37</v>
      </c>
      <c r="G1" s="20" t="s">
        <v>38</v>
      </c>
    </row>
    <row r="2" spans="1:15" ht="16.05" customHeight="1" x14ac:dyDescent="0.25">
      <c r="A2" s="79"/>
      <c r="B2" s="20" t="s">
        <v>39</v>
      </c>
      <c r="C2" s="20" t="s">
        <v>39</v>
      </c>
      <c r="D2" s="20" t="s">
        <v>39</v>
      </c>
      <c r="E2" s="20" t="s">
        <v>40</v>
      </c>
      <c r="F2" s="19" t="s">
        <v>41</v>
      </c>
      <c r="G2" s="20" t="s">
        <v>42</v>
      </c>
    </row>
    <row r="3" spans="1:15" ht="16.05" customHeight="1" x14ac:dyDescent="0.25">
      <c r="A3" s="21" t="s">
        <v>4</v>
      </c>
      <c r="B3" s="21">
        <v>4032</v>
      </c>
      <c r="C3" s="21">
        <v>1680</v>
      </c>
      <c r="D3" s="21">
        <v>1450</v>
      </c>
      <c r="E3" s="21">
        <v>5.3</v>
      </c>
      <c r="F3" s="21">
        <v>5.6</v>
      </c>
      <c r="G3" s="21" t="s">
        <v>16</v>
      </c>
      <c r="M3" t="s">
        <v>43</v>
      </c>
      <c r="N3" t="s">
        <v>44</v>
      </c>
      <c r="O3" t="s">
        <v>45</v>
      </c>
    </row>
    <row r="4" spans="1:15" ht="16.05" customHeight="1" x14ac:dyDescent="0.25">
      <c r="A4" s="21" t="s">
        <v>5</v>
      </c>
      <c r="B4" s="21">
        <v>4330</v>
      </c>
      <c r="C4" s="21">
        <v>1535</v>
      </c>
      <c r="D4" s="21">
        <v>1885</v>
      </c>
      <c r="E4" s="21">
        <v>7.8</v>
      </c>
      <c r="F4" s="21">
        <v>14.5</v>
      </c>
      <c r="G4" s="21" t="s">
        <v>16</v>
      </c>
      <c r="M4" t="s">
        <v>46</v>
      </c>
      <c r="N4" t="s">
        <v>47</v>
      </c>
      <c r="O4" t="s">
        <v>48</v>
      </c>
    </row>
    <row r="5" spans="1:15" s="18" customFormat="1" ht="16.05" customHeight="1" x14ac:dyDescent="0.25">
      <c r="A5" s="21" t="s">
        <v>10</v>
      </c>
      <c r="B5" s="21">
        <v>4053</v>
      </c>
      <c r="C5" s="21">
        <v>1740</v>
      </c>
      <c r="D5" s="21">
        <v>1449</v>
      </c>
      <c r="E5" s="21">
        <v>6.2</v>
      </c>
      <c r="F5" s="21">
        <v>10.8</v>
      </c>
      <c r="G5" s="21" t="s">
        <v>16</v>
      </c>
      <c r="M5" s="18" t="s">
        <v>49</v>
      </c>
      <c r="N5" s="18" t="s">
        <v>50</v>
      </c>
      <c r="O5" s="18" t="s">
        <v>51</v>
      </c>
    </row>
    <row r="6" spans="1:15" s="18" customFormat="1" ht="16.05" customHeight="1" x14ac:dyDescent="0.25">
      <c r="A6" s="21" t="s">
        <v>11</v>
      </c>
      <c r="B6" s="21">
        <v>5087</v>
      </c>
      <c r="C6" s="21">
        <v>1868</v>
      </c>
      <c r="D6" s="21">
        <v>1500</v>
      </c>
      <c r="E6" s="21">
        <v>8.5</v>
      </c>
      <c r="F6" s="21">
        <v>25.6</v>
      </c>
      <c r="G6" s="21" t="s">
        <v>16</v>
      </c>
      <c r="M6" s="18" t="s">
        <v>52</v>
      </c>
      <c r="N6" s="18" t="s">
        <v>53</v>
      </c>
      <c r="O6" s="18" t="s">
        <v>54</v>
      </c>
    </row>
    <row r="7" spans="1:15" x14ac:dyDescent="0.25">
      <c r="A7" s="22" t="s">
        <v>12</v>
      </c>
      <c r="B7" s="22">
        <v>4560</v>
      </c>
      <c r="C7" s="22">
        <v>1822</v>
      </c>
      <c r="D7" s="22">
        <v>1645</v>
      </c>
      <c r="E7" s="22">
        <v>7.8</v>
      </c>
      <c r="F7" s="22">
        <v>15.8</v>
      </c>
      <c r="G7" s="22" t="s">
        <v>17</v>
      </c>
      <c r="H7" s="18"/>
      <c r="I7" s="18"/>
    </row>
    <row r="8" spans="1:15" x14ac:dyDescent="0.25">
      <c r="A8" s="22" t="s">
        <v>14</v>
      </c>
      <c r="B8" s="22">
        <v>3797</v>
      </c>
      <c r="C8" s="22">
        <v>1510</v>
      </c>
      <c r="D8" s="22">
        <v>1820</v>
      </c>
      <c r="E8" s="22">
        <v>5.5</v>
      </c>
      <c r="F8" s="22">
        <v>9.6</v>
      </c>
      <c r="G8" s="22" t="s">
        <v>17</v>
      </c>
      <c r="H8" s="18"/>
      <c r="I8" s="18"/>
    </row>
    <row r="9" spans="1:15" s="18" customFormat="1" ht="16.05" customHeight="1" x14ac:dyDescent="0.25">
      <c r="A9" s="23" t="s">
        <v>55</v>
      </c>
      <c r="B9" s="21">
        <f>MAX(B3:B6)</f>
        <v>5087</v>
      </c>
      <c r="C9" s="21">
        <f>MAX(C3:C6)</f>
        <v>1868</v>
      </c>
      <c r="D9" s="21">
        <f>MAX(D3:D6)</f>
        <v>1885</v>
      </c>
      <c r="E9" s="21">
        <f>MAX(E3:E6)</f>
        <v>8.5</v>
      </c>
      <c r="F9" s="21">
        <f>MAX(F3:F6)</f>
        <v>25.6</v>
      </c>
      <c r="G9" s="21"/>
    </row>
    <row r="10" spans="1:15" s="18" customFormat="1" ht="16.05" customHeight="1" x14ac:dyDescent="0.25">
      <c r="A10" s="23" t="s">
        <v>56</v>
      </c>
      <c r="B10" s="21">
        <f>MIN(B3:B8)</f>
        <v>3797</v>
      </c>
      <c r="C10" s="21">
        <f t="shared" ref="C10:F10" si="0">MIN(C3:C8)</f>
        <v>1510</v>
      </c>
      <c r="D10" s="21">
        <f t="shared" si="0"/>
        <v>1449</v>
      </c>
      <c r="E10" s="21">
        <f t="shared" si="0"/>
        <v>5.3</v>
      </c>
      <c r="F10" s="21">
        <f t="shared" si="0"/>
        <v>5.6</v>
      </c>
      <c r="G10" s="21"/>
    </row>
    <row r="11" spans="1:15" s="18" customFormat="1" ht="16.05" customHeight="1" x14ac:dyDescent="0.25">
      <c r="A11" s="23" t="s">
        <v>57</v>
      </c>
      <c r="B11" s="21">
        <f>B9-B10</f>
        <v>1290</v>
      </c>
      <c r="C11" s="21">
        <f t="shared" ref="C11:F11" si="1">C9-C10</f>
        <v>358</v>
      </c>
      <c r="D11" s="21">
        <f t="shared" si="1"/>
        <v>436</v>
      </c>
      <c r="E11" s="21">
        <f t="shared" si="1"/>
        <v>3.2</v>
      </c>
      <c r="F11" s="21">
        <f t="shared" si="1"/>
        <v>20</v>
      </c>
      <c r="G11" s="21"/>
      <c r="H11" s="24" t="s">
        <v>59</v>
      </c>
    </row>
    <row r="12" spans="1:15" x14ac:dyDescent="0.25">
      <c r="A12" s="25" t="s">
        <v>4</v>
      </c>
      <c r="B12" s="26">
        <f>(B3-B10)/B11</f>
        <v>0.18217054263565891</v>
      </c>
      <c r="C12" s="26">
        <f t="shared" ref="C12:F12" si="2">(C3-C10)/C11</f>
        <v>0.47486033519553073</v>
      </c>
      <c r="D12" s="26">
        <f t="shared" si="2"/>
        <v>2.2935779816513763E-3</v>
      </c>
      <c r="E12" s="26">
        <f t="shared" si="2"/>
        <v>0</v>
      </c>
      <c r="F12" s="26">
        <f t="shared" si="2"/>
        <v>0</v>
      </c>
      <c r="G12" s="27"/>
      <c r="H12" s="28">
        <f>SQRT((B12-B16)*(B12-B16)+(C12-C16)*(C12-C16)+(D12-D16)*(D12-D16)+(E12-E16)*(E12-E16)+(F12-F16)*(F12-F16))</f>
        <v>1.1812451644280566</v>
      </c>
      <c r="I12" s="18"/>
    </row>
    <row r="13" spans="1:15" x14ac:dyDescent="0.25">
      <c r="A13" s="25" t="s">
        <v>5</v>
      </c>
      <c r="B13" s="26">
        <f>(B4-B10)/B11</f>
        <v>0.41317829457364341</v>
      </c>
      <c r="C13" s="26">
        <f t="shared" ref="C13:F13" si="3">(C4-C10)/C11</f>
        <v>6.9832402234636867E-2</v>
      </c>
      <c r="D13" s="26">
        <f t="shared" si="3"/>
        <v>1</v>
      </c>
      <c r="E13" s="26">
        <f t="shared" si="3"/>
        <v>0.78125</v>
      </c>
      <c r="F13" s="26">
        <f t="shared" si="3"/>
        <v>0.44500000000000001</v>
      </c>
      <c r="G13" s="27"/>
      <c r="H13" s="28">
        <f>SQRT((B13-B16)*(B13-B16)+(C13-C16)*(C13-C16)+(D13-D16)*(D13-D16)+(E13-E16)*(E13-E16)+(F13-F16)*(F13-F16))</f>
        <v>0.99080932863672255</v>
      </c>
      <c r="I13" s="18"/>
    </row>
    <row r="14" spans="1:15" x14ac:dyDescent="0.25">
      <c r="A14" s="25" t="s">
        <v>10</v>
      </c>
      <c r="B14" s="26">
        <f>(B5-B10)/B11</f>
        <v>0.19844961240310077</v>
      </c>
      <c r="C14" s="26">
        <f t="shared" ref="C14:F14" si="4">(C5-C10)/C11</f>
        <v>0.64245810055865926</v>
      </c>
      <c r="D14" s="26">
        <f t="shared" si="4"/>
        <v>0</v>
      </c>
      <c r="E14" s="26">
        <f t="shared" si="4"/>
        <v>0.28125000000000011</v>
      </c>
      <c r="F14" s="26">
        <f t="shared" si="4"/>
        <v>0.26000000000000006</v>
      </c>
      <c r="G14" s="27"/>
      <c r="H14" s="28">
        <f>SQRT((B14-B16)*(B14-B16)+(C14-C16)*(C14-C16)+(D14-D16)*(D14-D16)+(E14-E16)*(E14-E16)+(F14-F16)*(F14-F16))</f>
        <v>0.84942255471283146</v>
      </c>
      <c r="I14" s="18"/>
    </row>
    <row r="15" spans="1:15" x14ac:dyDescent="0.25">
      <c r="A15" s="25" t="s">
        <v>11</v>
      </c>
      <c r="B15" s="26">
        <f>(B6-B10)/B11</f>
        <v>1</v>
      </c>
      <c r="C15" s="26">
        <f t="shared" ref="C15:F15" si="5">(C6-C10)/C11</f>
        <v>1</v>
      </c>
      <c r="D15" s="26">
        <f t="shared" si="5"/>
        <v>0.11697247706422019</v>
      </c>
      <c r="E15" s="26">
        <f t="shared" si="5"/>
        <v>1</v>
      </c>
      <c r="F15" s="26">
        <f t="shared" si="5"/>
        <v>1</v>
      </c>
      <c r="G15" s="27"/>
      <c r="H15" s="28">
        <f>SQRT((B15-B16)*(B15-B16)+(C15-C16)*(C15-C16)+(D15-D16)*(D15-D16)+(E15-E16)*(E15-E16)+(F15-F16)*(F15-F16))</f>
        <v>0.76286177513159081</v>
      </c>
      <c r="I15" s="18"/>
    </row>
    <row r="16" spans="1:15" x14ac:dyDescent="0.25">
      <c r="A16" s="25" t="s">
        <v>12</v>
      </c>
      <c r="B16" s="26">
        <f>(B7-B10)/B11</f>
        <v>0.59147286821705425</v>
      </c>
      <c r="C16" s="26">
        <f t="shared" ref="C16:F16" si="6">(C7-C10)/C11</f>
        <v>0.87150837988826813</v>
      </c>
      <c r="D16" s="26">
        <f t="shared" si="6"/>
        <v>0.44954128440366975</v>
      </c>
      <c r="E16" s="26">
        <f t="shared" si="6"/>
        <v>0.78125</v>
      </c>
      <c r="F16" s="26">
        <f t="shared" si="6"/>
        <v>0.51</v>
      </c>
      <c r="G16" s="27"/>
      <c r="H16" s="28">
        <f>SQRT((B16-B16)*(B16-B16)+(C16-C16)*(C16-C16)+(D16-D16)*(D16-D16)+(E16-E16)*(E16-E16)+(F16-F16)*(F16-F16))</f>
        <v>0</v>
      </c>
      <c r="I16" s="18"/>
    </row>
    <row r="17" spans="1:9" x14ac:dyDescent="0.25">
      <c r="A17" s="25" t="s">
        <v>14</v>
      </c>
      <c r="B17" s="26">
        <f>(B8-B10)/B11</f>
        <v>0</v>
      </c>
      <c r="C17" s="26">
        <f t="shared" ref="C17:F17" si="7">(C8-C10)/C11</f>
        <v>0</v>
      </c>
      <c r="D17" s="26">
        <f t="shared" si="7"/>
        <v>0.8509174311926605</v>
      </c>
      <c r="E17" s="26">
        <f t="shared" si="7"/>
        <v>6.2500000000000056E-2</v>
      </c>
      <c r="F17" s="26">
        <f t="shared" si="7"/>
        <v>0.2</v>
      </c>
      <c r="G17" s="27"/>
      <c r="H17" s="28">
        <f>SQRT((B17-B16)*(B17-B16)+(C17-C16)*(C17-C16)+(D17-D16)*(D17-D16)+(E17-E16)*(E17-E16)+(F17-F16)*(F17-F16))</f>
        <v>1.3722869174351113</v>
      </c>
      <c r="I17" s="18"/>
    </row>
    <row r="18" spans="1:9" x14ac:dyDescent="0.25">
      <c r="A18" s="29"/>
      <c r="B18" s="29"/>
      <c r="C18" s="29"/>
      <c r="D18" s="29"/>
      <c r="E18" s="29"/>
      <c r="F18" s="29"/>
      <c r="G18" s="29"/>
      <c r="H18" s="30"/>
      <c r="I18" s="29"/>
    </row>
    <row r="19" spans="1:9" x14ac:dyDescent="0.25">
      <c r="A19" s="29"/>
      <c r="B19" s="31"/>
      <c r="C19" s="31"/>
      <c r="D19" s="31"/>
      <c r="E19" s="31"/>
      <c r="F19" s="31"/>
      <c r="G19" s="29"/>
      <c r="H19" s="30"/>
      <c r="I19" s="29"/>
    </row>
    <row r="20" spans="1:9" x14ac:dyDescent="0.25">
      <c r="A20" s="32"/>
      <c r="B20" s="33"/>
      <c r="C20" s="33"/>
      <c r="D20" s="33"/>
      <c r="E20" s="33"/>
      <c r="F20" s="33"/>
      <c r="G20" s="32"/>
      <c r="H20" s="9"/>
      <c r="I20" s="32"/>
    </row>
    <row r="21" spans="1:9" x14ac:dyDescent="0.25">
      <c r="A21" s="32"/>
      <c r="B21" s="32"/>
      <c r="C21" s="32"/>
      <c r="D21" s="32"/>
      <c r="E21" s="32"/>
      <c r="F21" s="32"/>
      <c r="G21" s="32"/>
      <c r="H21" s="32"/>
      <c r="I21" s="32"/>
    </row>
  </sheetData>
  <mergeCells count="1">
    <mergeCell ref="A1:A2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>
      <selection activeCell="H6" sqref="H6"/>
    </sheetView>
  </sheetViews>
  <sheetFormatPr defaultColWidth="9" defaultRowHeight="14.4" x14ac:dyDescent="0.25"/>
  <cols>
    <col min="2" max="2" width="9.109375" customWidth="1"/>
  </cols>
  <sheetData>
    <row r="1" spans="1:7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60</v>
      </c>
      <c r="F1" s="13" t="s">
        <v>49</v>
      </c>
      <c r="G1" s="13" t="s">
        <v>61</v>
      </c>
    </row>
    <row r="2" spans="1:7" x14ac:dyDescent="0.25">
      <c r="A2" s="14" t="s">
        <v>11</v>
      </c>
      <c r="B2" s="15">
        <v>1</v>
      </c>
      <c r="C2" s="15">
        <v>1</v>
      </c>
      <c r="D2" s="15">
        <v>0.11697247706422</v>
      </c>
      <c r="E2" s="15">
        <v>1</v>
      </c>
      <c r="F2" s="15">
        <v>1</v>
      </c>
      <c r="G2" s="15">
        <v>0.76286177513159104</v>
      </c>
    </row>
    <row r="3" spans="1:7" x14ac:dyDescent="0.25">
      <c r="A3" s="14" t="s">
        <v>10</v>
      </c>
      <c r="B3" s="15">
        <v>0.19844961240310099</v>
      </c>
      <c r="C3" s="15">
        <v>0.64245810055865904</v>
      </c>
      <c r="D3" s="15">
        <v>0</v>
      </c>
      <c r="E3" s="15">
        <v>0.28125</v>
      </c>
      <c r="F3" s="15">
        <v>0.26</v>
      </c>
      <c r="G3" s="15">
        <v>0.84942255471283101</v>
      </c>
    </row>
    <row r="4" spans="1:7" x14ac:dyDescent="0.25">
      <c r="A4" s="14" t="s">
        <v>5</v>
      </c>
      <c r="B4" s="15">
        <v>0.41317829457364302</v>
      </c>
      <c r="C4" s="15">
        <v>6.9832402234636895E-2</v>
      </c>
      <c r="D4" s="15">
        <v>1</v>
      </c>
      <c r="E4" s="15">
        <v>0.78125</v>
      </c>
      <c r="F4" s="15">
        <v>0.44500000000000001</v>
      </c>
      <c r="G4" s="15">
        <v>0.990809328636723</v>
      </c>
    </row>
    <row r="5" spans="1:7" x14ac:dyDescent="0.25">
      <c r="A5" s="16" t="s">
        <v>4</v>
      </c>
      <c r="B5" s="17">
        <v>0.18217054263565899</v>
      </c>
      <c r="C5" s="17">
        <v>0.474860335195531</v>
      </c>
      <c r="D5" s="17">
        <v>2.2935779816513802E-3</v>
      </c>
      <c r="E5" s="17">
        <v>0</v>
      </c>
      <c r="F5" s="17">
        <v>0</v>
      </c>
      <c r="G5" s="17">
        <v>1.1812451644280599</v>
      </c>
    </row>
  </sheetData>
  <sortState xmlns:xlrd2="http://schemas.microsoft.com/office/spreadsheetml/2017/richdata2" ref="A2:G5">
    <sortCondition ref="G2:G5"/>
  </sortState>
  <phoneticPr fontId="13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0"/>
  <sheetViews>
    <sheetView workbookViewId="0">
      <selection activeCell="M20" sqref="M20"/>
    </sheetView>
  </sheetViews>
  <sheetFormatPr defaultColWidth="9" defaultRowHeight="14.4" x14ac:dyDescent="0.25"/>
  <cols>
    <col min="1" max="1" width="11.109375" customWidth="1"/>
    <col min="2" max="2" width="9.33203125" customWidth="1"/>
    <col min="3" max="3" width="12.21875" customWidth="1"/>
    <col min="4" max="4" width="11.6640625" customWidth="1"/>
    <col min="5" max="5" width="10.21875" customWidth="1"/>
    <col min="6" max="6" width="10.77734375" customWidth="1"/>
    <col min="7" max="7" width="8.109375" customWidth="1"/>
    <col min="8" max="8" width="9.21875" customWidth="1"/>
    <col min="11" max="11" width="7.109375" customWidth="1"/>
    <col min="12" max="12" width="9" hidden="1" customWidth="1"/>
    <col min="13" max="13" width="15.44140625" customWidth="1"/>
    <col min="14" max="14" width="17.77734375" customWidth="1"/>
    <col min="15" max="15" width="13.332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60</v>
      </c>
      <c r="F1" s="1" t="s">
        <v>49</v>
      </c>
      <c r="G1" s="1" t="s">
        <v>62</v>
      </c>
    </row>
    <row r="2" spans="1:15" x14ac:dyDescent="0.25">
      <c r="A2" s="1"/>
      <c r="B2" s="1" t="s">
        <v>63</v>
      </c>
      <c r="C2" s="1" t="s">
        <v>63</v>
      </c>
      <c r="D2" s="1" t="s">
        <v>63</v>
      </c>
      <c r="E2" s="1" t="s">
        <v>64</v>
      </c>
      <c r="F2" s="1" t="s">
        <v>65</v>
      </c>
      <c r="G2" s="1" t="s">
        <v>66</v>
      </c>
    </row>
    <row r="3" spans="1:15" x14ac:dyDescent="0.25">
      <c r="A3" s="2" t="s">
        <v>4</v>
      </c>
      <c r="B3" s="2">
        <v>4032</v>
      </c>
      <c r="C3" s="2">
        <v>1680</v>
      </c>
      <c r="D3" s="2">
        <v>1450</v>
      </c>
      <c r="E3" s="2">
        <v>5.3</v>
      </c>
      <c r="F3" s="2">
        <v>5.6</v>
      </c>
      <c r="G3" s="2" t="s">
        <v>16</v>
      </c>
      <c r="M3" t="s">
        <v>43</v>
      </c>
      <c r="N3" t="s">
        <v>44</v>
      </c>
      <c r="O3" t="s">
        <v>45</v>
      </c>
    </row>
    <row r="4" spans="1:15" x14ac:dyDescent="0.25">
      <c r="A4" s="2" t="s">
        <v>5</v>
      </c>
      <c r="B4" s="2">
        <v>4330</v>
      </c>
      <c r="C4" s="2">
        <v>1535</v>
      </c>
      <c r="D4" s="2">
        <v>1885</v>
      </c>
      <c r="E4" s="2">
        <v>7.8</v>
      </c>
      <c r="F4" s="2">
        <v>14.5</v>
      </c>
      <c r="G4" s="2" t="s">
        <v>16</v>
      </c>
      <c r="M4" t="s">
        <v>46</v>
      </c>
      <c r="N4" t="s">
        <v>47</v>
      </c>
      <c r="O4" t="s">
        <v>48</v>
      </c>
    </row>
    <row r="5" spans="1:15" x14ac:dyDescent="0.25">
      <c r="A5" s="2" t="s">
        <v>10</v>
      </c>
      <c r="B5" s="2">
        <v>4053</v>
      </c>
      <c r="C5" s="2">
        <v>1740</v>
      </c>
      <c r="D5" s="2">
        <v>1449</v>
      </c>
      <c r="E5" s="2">
        <v>6.2</v>
      </c>
      <c r="F5" s="2">
        <v>10.8</v>
      </c>
      <c r="G5" s="2" t="s">
        <v>16</v>
      </c>
      <c r="M5" t="s">
        <v>49</v>
      </c>
      <c r="N5" t="s">
        <v>50</v>
      </c>
      <c r="O5" t="s">
        <v>51</v>
      </c>
    </row>
    <row r="6" spans="1:15" x14ac:dyDescent="0.25">
      <c r="A6" s="2" t="s">
        <v>11</v>
      </c>
      <c r="B6" s="2">
        <v>5087</v>
      </c>
      <c r="C6" s="2">
        <v>1868</v>
      </c>
      <c r="D6" s="2">
        <v>1500</v>
      </c>
      <c r="E6" s="2">
        <v>8.5</v>
      </c>
      <c r="F6" s="2">
        <v>25.6</v>
      </c>
      <c r="G6" s="2" t="s">
        <v>16</v>
      </c>
      <c r="M6" t="s">
        <v>52</v>
      </c>
      <c r="N6" t="s">
        <v>53</v>
      </c>
      <c r="O6" t="s">
        <v>54</v>
      </c>
    </row>
    <row r="7" spans="1:15" x14ac:dyDescent="0.25">
      <c r="A7" s="3" t="s">
        <v>12</v>
      </c>
      <c r="B7" s="3">
        <v>4560</v>
      </c>
      <c r="C7" s="3">
        <v>1822</v>
      </c>
      <c r="D7" s="3">
        <v>1645</v>
      </c>
      <c r="E7" s="3">
        <v>7.8</v>
      </c>
      <c r="F7" s="3">
        <v>15.8</v>
      </c>
      <c r="G7" s="3" t="s">
        <v>17</v>
      </c>
    </row>
    <row r="8" spans="1:15" x14ac:dyDescent="0.25">
      <c r="A8" s="3" t="s">
        <v>14</v>
      </c>
      <c r="B8" s="3">
        <v>3797</v>
      </c>
      <c r="C8" s="3">
        <v>1510</v>
      </c>
      <c r="D8" s="3">
        <v>1820</v>
      </c>
      <c r="E8" s="3">
        <v>5.5</v>
      </c>
      <c r="F8" s="3">
        <v>9.6</v>
      </c>
      <c r="G8" s="3" t="s">
        <v>17</v>
      </c>
    </row>
    <row r="9" spans="1:15" x14ac:dyDescent="0.25">
      <c r="A9" s="4" t="s">
        <v>67</v>
      </c>
      <c r="B9" s="4">
        <f t="shared" ref="B9:F9" si="0">MAX(B3:B8)</f>
        <v>5087</v>
      </c>
      <c r="C9" s="4">
        <f t="shared" si="0"/>
        <v>1868</v>
      </c>
      <c r="D9" s="4">
        <f t="shared" si="0"/>
        <v>1885</v>
      </c>
      <c r="E9" s="4">
        <f t="shared" si="0"/>
        <v>8.5</v>
      </c>
      <c r="F9" s="4">
        <f t="shared" si="0"/>
        <v>25.6</v>
      </c>
    </row>
    <row r="10" spans="1:15" x14ac:dyDescent="0.25">
      <c r="A10" s="4" t="s">
        <v>68</v>
      </c>
      <c r="B10" s="4">
        <f t="shared" ref="B10:F10" si="1">MIN(B3:B8)</f>
        <v>3797</v>
      </c>
      <c r="C10" s="4">
        <f t="shared" si="1"/>
        <v>1510</v>
      </c>
      <c r="D10" s="4">
        <f t="shared" si="1"/>
        <v>1449</v>
      </c>
      <c r="E10" s="4">
        <f t="shared" si="1"/>
        <v>5.3</v>
      </c>
      <c r="F10" s="4">
        <f t="shared" si="1"/>
        <v>5.6</v>
      </c>
    </row>
    <row r="11" spans="1:15" x14ac:dyDescent="0.25">
      <c r="A11" s="4" t="s">
        <v>69</v>
      </c>
      <c r="B11" s="4">
        <f t="shared" ref="B11:F11" si="2">B9-B10</f>
        <v>1290</v>
      </c>
      <c r="C11" s="4">
        <f t="shared" si="2"/>
        <v>358</v>
      </c>
      <c r="D11" s="4">
        <f t="shared" si="2"/>
        <v>436</v>
      </c>
      <c r="E11" s="4">
        <f t="shared" si="2"/>
        <v>3.2</v>
      </c>
      <c r="F11" s="4">
        <f t="shared" si="2"/>
        <v>20</v>
      </c>
      <c r="H11" s="5" t="s">
        <v>70</v>
      </c>
    </row>
    <row r="12" spans="1:15" x14ac:dyDescent="0.25">
      <c r="A12" s="6" t="s">
        <v>4</v>
      </c>
      <c r="B12" s="7">
        <f t="shared" ref="B12:F12" si="3">(B3-B10)/B11</f>
        <v>0.18217054263565891</v>
      </c>
      <c r="C12" s="7">
        <f t="shared" si="3"/>
        <v>0.47486033519553073</v>
      </c>
      <c r="D12" s="7">
        <f t="shared" si="3"/>
        <v>2.2935779816513763E-3</v>
      </c>
      <c r="E12" s="7">
        <f t="shared" si="3"/>
        <v>0</v>
      </c>
      <c r="F12" s="7">
        <f t="shared" si="3"/>
        <v>0</v>
      </c>
      <c r="H12" s="8">
        <f>SQRT((B12-B16)*(B12-B16)+(C12-C16)*(C12-C16)+(D12-D16)*(D12-D16)+(E12-E16)*(E12-E16)+(F12-F16)*(F12-F16))</f>
        <v>1.1812451644280566</v>
      </c>
    </row>
    <row r="13" spans="1:15" x14ac:dyDescent="0.25">
      <c r="A13" s="6" t="s">
        <v>5</v>
      </c>
      <c r="B13" s="7">
        <f t="shared" ref="B13:F13" si="4">(B4-B10)/B11</f>
        <v>0.41317829457364341</v>
      </c>
      <c r="C13" s="7">
        <f t="shared" si="4"/>
        <v>6.9832402234636867E-2</v>
      </c>
      <c r="D13" s="7">
        <f t="shared" si="4"/>
        <v>1</v>
      </c>
      <c r="E13" s="7">
        <f t="shared" si="4"/>
        <v>0.78125</v>
      </c>
      <c r="F13" s="7">
        <f t="shared" si="4"/>
        <v>0.44500000000000001</v>
      </c>
      <c r="H13" s="8">
        <f>SQRT((B13-B16)*(B13-B16)+(C13-C16)*(C13-C16)+(D13-D16)*(D13-D16)+(E13-E16)*(E13-E16)+(F13-F16)*(F13-F16))</f>
        <v>0.99080932863672255</v>
      </c>
    </row>
    <row r="14" spans="1:15" x14ac:dyDescent="0.25">
      <c r="A14" s="6" t="s">
        <v>10</v>
      </c>
      <c r="B14" s="7">
        <f t="shared" ref="B14:F14" si="5">(B5-B10)/B11</f>
        <v>0.19844961240310077</v>
      </c>
      <c r="C14" s="7">
        <f t="shared" si="5"/>
        <v>0.64245810055865926</v>
      </c>
      <c r="D14" s="7">
        <f t="shared" si="5"/>
        <v>0</v>
      </c>
      <c r="E14" s="7">
        <f t="shared" si="5"/>
        <v>0.28125000000000011</v>
      </c>
      <c r="F14" s="7">
        <f t="shared" si="5"/>
        <v>0.26000000000000006</v>
      </c>
      <c r="H14" s="8">
        <f>SQRT((B14-B16)*(B14-B16)+(C14-C16)*(C14-C16)+(D14-D16)*(D14-D16)+(E14-E16)*(E14-E16)+(F14-F16)*(F14-F16))</f>
        <v>0.84942255471283146</v>
      </c>
    </row>
    <row r="15" spans="1:15" x14ac:dyDescent="0.25">
      <c r="A15" s="6" t="s">
        <v>11</v>
      </c>
      <c r="B15" s="7">
        <f t="shared" ref="B15:F15" si="6">(B6-B10)/B11</f>
        <v>1</v>
      </c>
      <c r="C15" s="7">
        <f t="shared" si="6"/>
        <v>1</v>
      </c>
      <c r="D15" s="7">
        <f t="shared" si="6"/>
        <v>0.11697247706422019</v>
      </c>
      <c r="E15" s="7">
        <f t="shared" si="6"/>
        <v>1</v>
      </c>
      <c r="F15" s="7">
        <f t="shared" si="6"/>
        <v>1</v>
      </c>
      <c r="H15" s="8">
        <f>SQRT((B15-B16)*(B15-B16)+(C15-C16)*(C15-C16)+(D15-D16)*(D15-D16)+(E15-E16)*(E15-E16)+(F15-F16)*(F15-F16))</f>
        <v>0.76286177513159081</v>
      </c>
    </row>
    <row r="16" spans="1:15" x14ac:dyDescent="0.25">
      <c r="A16" s="6" t="s">
        <v>12</v>
      </c>
      <c r="B16" s="7">
        <f t="shared" ref="B16:F16" si="7">(B7-B10)/B11</f>
        <v>0.59147286821705425</v>
      </c>
      <c r="C16" s="7">
        <f t="shared" si="7"/>
        <v>0.87150837988826813</v>
      </c>
      <c r="D16" s="7">
        <f t="shared" si="7"/>
        <v>0.44954128440366975</v>
      </c>
      <c r="E16" s="7">
        <f t="shared" si="7"/>
        <v>0.78125</v>
      </c>
      <c r="F16" s="7">
        <f t="shared" si="7"/>
        <v>0.51</v>
      </c>
      <c r="H16" s="8">
        <f>SQRT((B16-B16)*(B16-B16)+(C16-C16)*(C16-C16)+(D16-D16)*(D16-D16)+(E16-E16)*(E16-E16)+(F16-F16)*(F16-F16))</f>
        <v>0</v>
      </c>
    </row>
    <row r="17" spans="1:8" x14ac:dyDescent="0.25">
      <c r="A17" s="6" t="s">
        <v>14</v>
      </c>
      <c r="B17" s="7">
        <f t="shared" ref="B17:F17" si="8">(B8-B10)/B11</f>
        <v>0</v>
      </c>
      <c r="C17" s="7">
        <f t="shared" si="8"/>
        <v>0</v>
      </c>
      <c r="D17" s="7">
        <f t="shared" si="8"/>
        <v>0.8509174311926605</v>
      </c>
      <c r="E17" s="7">
        <f t="shared" si="8"/>
        <v>6.2500000000000056E-2</v>
      </c>
      <c r="F17" s="7">
        <f t="shared" si="8"/>
        <v>0.2</v>
      </c>
      <c r="H17" s="8">
        <f>SQRT((B17-B16)*(B17-B16)+(C17-C16)*(C17-C16)+(D17-D16)*(D17-D16)+(E17-E16)*(E17-E16)+(F17-F16)*(F17-F16))</f>
        <v>1.3722869174351113</v>
      </c>
    </row>
    <row r="18" spans="1:8" x14ac:dyDescent="0.25">
      <c r="H18" s="9"/>
    </row>
    <row r="19" spans="1:8" x14ac:dyDescent="0.25">
      <c r="A19" s="10" t="s">
        <v>71</v>
      </c>
      <c r="B19" s="11">
        <v>4585</v>
      </c>
      <c r="C19" s="11">
        <v>1855</v>
      </c>
      <c r="D19" s="11">
        <v>1679</v>
      </c>
      <c r="E19" s="11">
        <v>7.6</v>
      </c>
      <c r="F19" s="11">
        <v>19.600000000000001</v>
      </c>
      <c r="H19" s="9"/>
    </row>
    <row r="20" spans="1:8" x14ac:dyDescent="0.25">
      <c r="A20" s="10" t="s">
        <v>72</v>
      </c>
      <c r="B20" s="12">
        <f t="shared" ref="B20:F20" si="9">(B19-B10)/B11</f>
        <v>0.61085271317829459</v>
      </c>
      <c r="C20" s="12">
        <f t="shared" si="9"/>
        <v>0.96368715083798884</v>
      </c>
      <c r="D20" s="12">
        <f t="shared" si="9"/>
        <v>0.52752293577981646</v>
      </c>
      <c r="E20" s="12">
        <f t="shared" si="9"/>
        <v>0.71874999999999989</v>
      </c>
      <c r="F20" s="12">
        <f t="shared" si="9"/>
        <v>0.70000000000000007</v>
      </c>
      <c r="H20" s="8">
        <f>SQRT((B20-B16)*(B20-B16)+(C20-C16)*(C20-C16)+(D20-D16)*(D20-D16)+(E20-E16)*(E20-E16)+(F20-F16)*(F20-F16))</f>
        <v>0.2344352621852645</v>
      </c>
    </row>
  </sheetData>
  <phoneticPr fontId="1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基础数据 表1-1</vt:lpstr>
      <vt:lpstr>训练+测试集 表1-2</vt:lpstr>
      <vt:lpstr>计算d值 图1-3</vt:lpstr>
      <vt:lpstr>加油耗售价 表1-3</vt:lpstr>
      <vt:lpstr>图1-10</vt:lpstr>
      <vt:lpstr>图1-11</vt:lpstr>
      <vt:lpstr>图1-12 d值升序排序</vt:lpstr>
      <vt:lpstr>视频演示增加一个车型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Einstein Tan</cp:lastModifiedBy>
  <dcterms:created xsi:type="dcterms:W3CDTF">2006-09-16T00:00:00Z</dcterms:created>
  <dcterms:modified xsi:type="dcterms:W3CDTF">2026-10-21T05:57:30Z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E7263AEAC05643849BE9172668CFE7BB</vt:lpwstr>
  </property>
  <property fmtid="{D5CDD505-2E9C-101B-9397-08002B2CF9AE}" pid="3" name="KSOProductBuildVer">
    <vt:lpwstr>2052-11.8.2.12085</vt:lpwstr>
  </property>
</Properties>
</file>